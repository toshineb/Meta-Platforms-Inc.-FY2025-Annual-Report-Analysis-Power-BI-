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come_Statement" sheetId="2" state="visible" r:id="rId4"/>
    <sheet name="Segments" sheetId="3" state="visible" r:id="rId5"/>
    <sheet name="Geography" sheetId="4" state="visible" r:id="rId6"/>
    <sheet name="Balance_Sheet" sheetId="5" state="visible" r:id="rId7"/>
    <sheet name="Cash_Flow" sheetId="6" state="visible" r:id="rId8"/>
    <sheet name="KPIs" sheetId="7" state="visible" r:id="rId9"/>
    <sheet name="Quarterly_2025" sheetId="8" state="visible" r:id="rId10"/>
    <sheet name="Investment_Split" sheetId="9" state="visible" r:id="rId11"/>
    <sheet name="Ratios" sheetId="10" state="visible" r:id="rId12"/>
    <sheet name="Waterfall_2025" sheetId="11" state="visible" r:id="rId13"/>
    <sheet name="Dim_Year" sheetId="12" state="visible" r:id="rId14"/>
    <sheet name="Revenue_Mix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<sst xmlns="http://schemas.openxmlformats.org/spreadsheetml/2006/main" count="379" uniqueCount="140">
  <si>
    <t xml:space="preserve">Meta Platforms, Inc. - Annual Report data prepared for Power BI (Assignment 3)</t>
  </si>
  <si>
    <t xml:space="preserve">All currency values are US$ millions unless the column name says otherwise.</t>
  </si>
  <si>
    <t xml:space="preserve">Blue numbers = figures typed in from the source filings. Black numbers = formulas.</t>
  </si>
  <si>
    <t xml:space="preserve">Each sheet holds ONE Excel table (named tbl...). In Power BI: Get Data &gt; Excel &gt; tick the tbl... tables.</t>
  </si>
  <si>
    <t xml:space="preserve">SOURCES</t>
  </si>
  <si>
    <t xml:space="preserve">FY2025 &amp; FY2024: Meta Form 10-K for year ended 31 Dec 2025 (filed 29 Jan 2026) and Q4/FY2025 results release (Exhibit 99.1, 28 Jan 2026).</t>
  </si>
  <si>
    <t xml:space="preserve">  https://www.sec.gov/Archives/edgar/data/1326801/000162828026003942/meta-20251231.htm</t>
  </si>
  <si>
    <t xml:space="preserve">  https://www.sec.gov/Archives/edgar/data/1326801/000162828026003832/meta-12312025xexhibit991.htm</t>
  </si>
  <si>
    <t xml:space="preserve">Geography 2021-2023: Meta Form 10-K FY2023 and FY2024 (revenue by customer address).</t>
  </si>
  <si>
    <t xml:space="preserve">2021-2023 income statement, segment, cash-flow, DAP &amp; headcount: Meta 10-Ks for FY2021-FY2023. Totals were cross-checked;</t>
  </si>
  <si>
    <t xml:space="preserve">  spot-check these older rows against the filings before submitting (Item 7 &amp; Item 8 of each 10-K).</t>
  </si>
  <si>
    <t xml:space="preserve">Quarterly 2025: Meta quarterly results releases (Q1-Q4 2025); quarters sum to the full-year totals.</t>
  </si>
  <si>
    <t xml:space="preserve">NOTES</t>
  </si>
  <si>
    <t xml:space="preserve">FY2025 tax provision includes a one-off valuation allowance charge from the One Big Beautiful Bill Act (Q3 2025);</t>
  </si>
  <si>
    <t xml:space="preserve">  without it the 2025 effective tax rate would have been ~13% instead of 30%. This is why 2025 net income fell while operating income rose.</t>
  </si>
  <si>
    <t xml:space="preserve">Free cash flow = operating cash flow - purchases of property &amp; equipment - principal payments on finance leases (Meta's current definition).</t>
  </si>
  <si>
    <t xml:space="preserve">Year</t>
  </si>
  <si>
    <t xml:space="preserve">Revenue</t>
  </si>
  <si>
    <t xml:space="preserve">Cost_of_Revenue</t>
  </si>
  <si>
    <t xml:space="preserve">Gross_Profit</t>
  </si>
  <si>
    <t xml:space="preserve">R_and_D</t>
  </si>
  <si>
    <t xml:space="preserve">Marketing_and_Sales</t>
  </si>
  <si>
    <t xml:space="preserve">General_and_Admin</t>
  </si>
  <si>
    <t xml:space="preserve">Total_Costs_and_Expenses</t>
  </si>
  <si>
    <t xml:space="preserve">Operating_Income</t>
  </si>
  <si>
    <t xml:space="preserve">Interest_and_Other_Income</t>
  </si>
  <si>
    <t xml:space="preserve">Pretax_Income</t>
  </si>
  <si>
    <t xml:space="preserve">Income_Tax</t>
  </si>
  <si>
    <t xml:space="preserve">Net_Income</t>
  </si>
  <si>
    <t xml:space="preserve">Diluted_EPS_USD</t>
  </si>
  <si>
    <t xml:space="preserve">Diluted_Shares_mm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</si>
  <si>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</si>
  <si>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</si>
  <si>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</si>
  <si>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</si>
  <si>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</si>
  <si>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Advertising_Revenue</t>
  </si>
  <si>
    <t xml:space="preserve">FoA_Other_Revenue</t>
  </si>
  <si>
    <t xml:space="preserve">Family_of_Apps_Revenue</t>
  </si>
  <si>
    <t xml:space="preserve">Reality_Labs_Revenue</t>
  </si>
  <si>
    <t xml:space="preserve">Total_Revenue</t>
  </si>
  <si>
    <t xml:space="preserve">FoA_Operating_Income</t>
  </si>
  <si>
    <t xml:space="preserve">RL_Operating_Income</t>
  </si>
  <si>
    <t xml:space="preserve">Total_Operating_Income</t>
  </si>
  <si>
    <t xml:space="preserve">FoA_Operating_Margin</t>
  </si>
  <si>
    <t xml:space="preserve">Advertising_Share_of_Revenue</t>
  </si>
  <si>
    <t xml:space="preserve">Region</t>
  </si>
  <si>
    <t xml:space="preserve">United States and Canada</t>
  </si>
  <si>
    <t xml:space="preserve">Europe</t>
  </si>
  <si>
    <t xml:space="preserve">Asia-Pacific</t>
  </si>
  <si>
    <t xml:space="preserve">Rest of World</t>
  </si>
  <si>
    <t xml:space="preserve">Class</t>
  </si>
  <si>
    <t xml:space="preserve">Section</t>
  </si>
  <si>
    <t xml:space="preserve">Line_Item</t>
  </si>
  <si>
    <t xml:space="preserve">Amount</t>
  </si>
  <si>
    <t xml:space="preserve">Check (Assets - Liabilities - Equity)</t>
  </si>
  <si>
    <t xml:space="preserve">Assets</t>
  </si>
  <si>
    <t xml:space="preserve">Current Assets</t>
  </si>
  <si>
    <t xml:space="preserve">Cash and cash equivalents</t>
  </si>
  <si>
    <t xml:space="preserve">Marketable securities</t>
  </si>
  <si>
    <t xml:space="preserve">Accounts receivable, net</t>
  </si>
  <si>
    <t xml:space="preserve">Prepaid expenses and other current assets</t>
  </si>
  <si>
    <t xml:space="preserve">Non-current Assets</t>
  </si>
  <si>
    <t xml:space="preserve">Non-marketable equity investments</t>
  </si>
  <si>
    <t xml:space="preserve">Property and equipment, net</t>
  </si>
  <si>
    <t xml:space="preserve">Operating lease right-of-use assets</t>
  </si>
  <si>
    <t xml:space="preserve">Goodwill</t>
  </si>
  <si>
    <t xml:space="preserve">Other assets</t>
  </si>
  <si>
    <t xml:space="preserve">Liabilities</t>
  </si>
  <si>
    <t xml:space="preserve">Current Liabilities</t>
  </si>
  <si>
    <t xml:space="preserve">Accounts payable</t>
  </si>
  <si>
    <t xml:space="preserve">Operating lease liabilities, current</t>
  </si>
  <si>
    <t xml:space="preserve">Accrued expenses and other current liabilities</t>
  </si>
  <si>
    <t xml:space="preserve">Non-current Liabilities</t>
  </si>
  <si>
    <t xml:space="preserve">Operating lease liabilities, non-current</t>
  </si>
  <si>
    <t xml:space="preserve">Long-term debt</t>
  </si>
  <si>
    <t xml:space="preserve">Long-term income taxes</t>
  </si>
  <si>
    <t xml:space="preserve">Other liabilities</t>
  </si>
  <si>
    <t xml:space="preserve">Equity</t>
  </si>
  <si>
    <t xml:space="preserve">Common stock and additional paid-in capital</t>
  </si>
  <si>
    <t xml:space="preserve">Accumulated other comprehensive income (loss)</t>
  </si>
  <si>
    <t xml:space="preserve">Retained earnings</t>
  </si>
  <si>
    <t xml:space="preserve">Operating_Cash_Flow</t>
  </si>
  <si>
    <t xml:space="preserve">Purchases_of_PPE</t>
  </si>
  <si>
    <t xml:space="preserve">Finance_Lease_Principal</t>
  </si>
  <si>
    <t xml:space="preserve">Total_Capex</t>
  </si>
  <si>
    <t xml:space="preserve">Free_Cash_Flow</t>
  </si>
  <si>
    <t xml:space="preserve">Share_Repurchases</t>
  </si>
  <si>
    <t xml:space="preserve">Dividends_Paid</t>
  </si>
  <si>
    <t xml:space="preserve">Total_Shareholder_Return</t>
  </si>
  <si>
    <t xml:space="preserve">Depreciation_and_Amortization</t>
  </si>
  <si>
    <t xml:space="preserve">Cash_Conversion</t>
  </si>
  <si>
    <t xml:space="preserve">Daily_Active_People_bn</t>
  </si>
  <si>
    <t xml:space="preserve">Headcount</t>
  </si>
  <si>
    <t xml:space="preserve">Revenue_per_Employee_USD_k</t>
  </si>
  <si>
    <t xml:space="preserve">Revenue_per_DAP_USD</t>
  </si>
  <si>
    <t xml:space="preserve">Quarter</t>
  </si>
  <si>
    <t xml:space="preserve">Quarter_Order</t>
  </si>
  <si>
    <t xml:space="preserve">Capex_USD_bn</t>
  </si>
  <si>
    <t xml:space="preserve">DAP_bn</t>
  </si>
  <si>
    <t xml:space="preserve">Operating_Margin</t>
  </si>
  <si>
    <t xml:space="preserve">Q1 2025</t>
  </si>
  <si>
    <t xml:space="preserve">Q2 2025</t>
  </si>
  <si>
    <t xml:space="preserve">Q3 2025</t>
  </si>
  <si>
    <t xml:space="preserve">Q4 2025</t>
  </si>
  <si>
    <t xml:space="preserve">Category</t>
  </si>
  <si>
    <t xml:space="preserve">Item</t>
  </si>
  <si>
    <t xml:space="preserve">Value</t>
  </si>
  <si>
    <t xml:space="preserve">Values: US$ millions for 2025 rows; percent for 2026 plan rows (from 10-K Item 1).</t>
  </si>
  <si>
    <t xml:space="preserve">2025 costs &amp; expenses</t>
  </si>
  <si>
    <t xml:space="preserve">Family of Apps</t>
  </si>
  <si>
    <t xml:space="preserve">Reality Labs</t>
  </si>
  <si>
    <t xml:space="preserve">2026 RL opex plan (%)</t>
  </si>
  <si>
    <t xml:space="preserve">Wearables</t>
  </si>
  <si>
    <t xml:space="preserve">VR &amp; Horizon</t>
  </si>
  <si>
    <t xml:space="preserve">Revenue_Growth</t>
  </si>
  <si>
    <t xml:space="preserve">Gross_Margin</t>
  </si>
  <si>
    <t xml:space="preserve">Net_Margin</t>
  </si>
  <si>
    <t xml:space="preserve">Effective_Tax_Rate</t>
  </si>
  <si>
    <t xml:space="preserve">RandD_pct_Revenue</t>
  </si>
  <si>
    <t xml:space="preserve">Capex_pct_Revenue</t>
  </si>
  <si>
    <t xml:space="preserve">FCF_Margin</t>
  </si>
  <si>
    <t xml:space="preserve">Balance-sheet ratios</t>
  </si>
  <si>
    <t xml:space="preserve">Current ratio</t>
  </si>
  <si>
    <t xml:space="preserve">Debt-to-equity</t>
  </si>
  <si>
    <t xml:space="preserve">Return on equity (NI / closing equity)</t>
  </si>
  <si>
    <t xml:space="preserve">Step_Order</t>
  </si>
  <si>
    <t xml:space="preserve">Step</t>
  </si>
  <si>
    <t xml:space="preserve">Net income check</t>
  </si>
  <si>
    <t xml:space="preserve">should equal 60,458 (Income_Statement 2025 Net_Income)</t>
  </si>
  <si>
    <t xml:space="preserve">Cost of revenue</t>
  </si>
  <si>
    <t xml:space="preserve">Research &amp; development</t>
  </si>
  <si>
    <t xml:space="preserve">Marketing &amp; sales</t>
  </si>
  <si>
    <t xml:space="preserve">General &amp; administrative</t>
  </si>
  <si>
    <t xml:space="preserve">Interest &amp; other income</t>
  </si>
  <si>
    <t xml:space="preserve">Income tax</t>
  </si>
  <si>
    <t xml:space="preserve">Year_Num</t>
  </si>
  <si>
    <t xml:space="preserve">Revenue_Source</t>
  </si>
  <si>
    <t xml:space="preserve">Advertising</t>
  </si>
  <si>
    <t xml:space="preserve">Other Family of Apps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</si>
</sst>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0.00"/>
    <numFmt numFmtId="167" formatCode="0.0%;\(0.0%\);\-"/>
    <numFmt numFmtId="168" formatCode="0.00\x"/>
    <numFmt numFmtId="169" formatCode="0.00"/>
    <numFmt numFmtId="170" formatCode="#,##0"/>
    <numFmt numFmtId="171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877F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77F2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877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877F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alanceSheet" displayName="tblBalanceSheet" ref="A1:E39" headerRowCount="1" totalsRowCount="0" totalsRowShown="0">
  <autoFilter ref="A1:E39"/>
  <tableColumns count="5">
    <tableColumn id="1" name="Year"/>
    <tableColumn id="2" name="Class"/>
    <tableColumn id="3" name="Section"/>
    <tableColumn id="4" name="Line_Item"/>
    <tableColumn id="5" name="Amount"/>
  </tableColumns>
</table>
</file>

<file path=xl/tables/table2.xml><?xml version="1.0" encoding="utf-8"?>
<table xmlns="http://schemas.openxmlformats.org/spreadsheetml/2006/main" id="2" name="tblCashFlow" displayName="tblCashFlow" ref="A1:L6" headerRowCount="1" totalsRowCount="0" totalsRowShown="0">
  <autoFilter ref="A1:L6"/>
  <tableColumns count="12">
    <tableColumn id="1" name="Year"/>
    <tableColumn id="2" name="Operating_Cash_Flow"/>
    <tableColumn id="3" name="Purchases_of_PPE"/>
    <tableColumn id="4" name="Finance_Lease_Principal"/>
    <tableColumn id="5" name="Total_Capex"/>
    <tableColumn id="6" name="Free_Cash_Flow"/>
    <tableColumn id="7" name="Share_Repurchases"/>
    <tableColumn id="8" name="Dividends_Paid"/>
    <tableColumn id="9" name="Total_Shareholder_Return"/>
    <tableColumn id="10" name="Depreciation_and_Amortization"/>
    <tableColumn id="11" name="Net_Income"/>
    <tableColumn id="12" name="Cash_Conversion"/>
  </tableColumns>
</table>
</file>

<file path=xl/tables/table3.xml><?xml version="1.0" encoding="utf-8"?>
<table xmlns="http://schemas.openxmlformats.org/spreadsheetml/2006/main" id="3" name="tblGeography" displayName="tblGeography" ref="A1:C21" headerRowCount="1" totalsRowCount="0" totalsRowShown="0">
  <autoFilter ref="A1:C21"/>
  <tableColumns count="3">
    <tableColumn id="1" name="Year"/>
    <tableColumn id="2" name="Region"/>
    <tableColumn id="3" name="Revenue"/>
  </tableColumns>
</table>
</file>

<file path=xl/tables/table4.xml><?xml version="1.0" encoding="utf-8"?>
<table xmlns="http://schemas.openxmlformats.org/spreadsheetml/2006/main" id="4" name="tblIncome" displayName="tblIncome" ref="A1:O6" headerRowCount="1" totalsRowCount="0" totalsRowShown="0">
  <autoFilter ref="A1:O6"/>
  <tableColumns count="15">
    <tableColumn id="1" name="Year"/>
    <tableColumn id="2" name="Revenue"/>
    <tableColumn id="3" name="Cost_of_Revenue"/>
    <tableColumn id="4" name="Gross_Profit"/>
    <tableColumn id="5" name="R_and_D"/>
    <tableColumn id="6" name="Marketing_and_Sales"/>
    <tableColumn id="7" name="General_and_Admin"/>
    <tableColumn id="8" name="Total_Costs_and_Expenses"/>
    <tableColumn id="9" name="Operating_Income"/>
    <tableColumn id="10" name="Interest_and_Other_Income"/>
    <tableColumn id="11" name="Pretax_Income"/>
    <tableColumn id="12" name="Income_Tax"/>
    <tableColumn id="13" name="Net_Income"/>
    <tableColumn id="14" name="Diluted_EPS_USD"/>
    <tableColumn id="15" name="Diluted_Shares_mm"/>
  </tableColumns>
</table>
</file>

<file path=xl/tables/table5.xml><?xml version="1.0" encoding="utf-8"?>
<table xmlns="http://schemas.openxmlformats.org/spreadsheetml/2006/main" id="5" name="tblInvestment" displayName="tblInvestment" ref="A1:C5" headerRowCount="1" totalsRowCount="0" totalsRowShown="0">
  <autoFilter ref="A1:C5"/>
  <tableColumns count="3">
    <tableColumn id="1" name="Category"/>
    <tableColumn id="2" name="Item"/>
    <tableColumn id="3" name="Value"/>
  </tableColumns>
</table>
</file>

<file path=xl/tables/table6.xml><?xml version="1.0" encoding="utf-8"?>
<table xmlns="http://schemas.openxmlformats.org/spreadsheetml/2006/main" id="6" name="tblKPIs" displayName="tblKPIs" ref="A1:F6" headerRowCount="1" totalsRowCount="0" totalsRowShown="0">
  <autoFilter ref="A1:F6"/>
  <tableColumns count="6">
    <tableColumn id="1" name="Year"/>
    <tableColumn id="2" name="Daily_Active_People_bn"/>
    <tableColumn id="3" name="Headcount"/>
    <tableColumn id="4" name="Revenue"/>
    <tableColumn id="5" name="Revenue_per_Employee_USD_k"/>
    <tableColumn id="6" name="Revenue_per_DAP_USD"/>
  </tableColumns>
</table>
</file>

<file path=xl/tables/table7.xml><?xml version="1.0" encoding="utf-8"?>
<table xmlns="http://schemas.openxmlformats.org/spreadsheetml/2006/main" id="7" name="tblQuarterly" displayName="tblQuarterly" ref="A1:H5" headerRowCount="1" totalsRowCount="0" totalsRowShown="0">
  <autoFilter ref="A1:H5"/>
  <tableColumns count="8">
    <tableColumn id="1" name="Quarter"/>
    <tableColumn id="2" name="Quarter_Order"/>
    <tableColumn id="3" name="Revenue"/>
    <tableColumn id="4" name="Operating_Income"/>
    <tableColumn id="5" name="Net_Income"/>
    <tableColumn id="6" name="Capex_USD_bn"/>
    <tableColumn id="7" name="DAP_bn"/>
    <tableColumn id="8" name="Operating_Margin"/>
  </tableColumns>
</table>
</file>

<file path=xl/tables/table8.xml><?xml version="1.0" encoding="utf-8"?>
<table xmlns="http://schemas.openxmlformats.org/spreadsheetml/2006/main" id="8" name="tblRatios" displayName="tblRatios" ref="A1:I6" headerRowCount="1" totalsRowCount="0" totalsRowShown="0">
  <autoFilter ref="A1:I6"/>
  <tableColumns count="9">
    <tableColumn id="1" name="Year"/>
    <tableColumn id="2" name="Revenue_Growth"/>
    <tableColumn id="3" name="Gross_Margin"/>
    <tableColumn id="4" name="Operating_Margin"/>
    <tableColumn id="5" name="Net_Margin"/>
    <tableColumn id="6" name="Effective_Tax_Rate"/>
    <tableColumn id="7" name="RandD_pct_Revenue"/>
    <tableColumn id="8" name="Capex_pct_Revenue"/>
    <tableColumn id="9" name="FCF_Margin"/>
  </tableColumns>
</table>
</file>

<file path=xl/tables/table9.xml><?xml version="1.0" encoding="utf-8"?>
<table xmlns="http://schemas.openxmlformats.org/spreadsheetml/2006/main" id="9" name="tblRevenueMix" displayName="tblRevenueMix" ref="A1:C16" headerRowCount="1" totalsRowCount="0" totalsRowShown="0">
  <autoFilter ref="A1:C16"/>
  <tableColumns count="3">
    <tableColumn id="1" name="Year"/>
    <tableColumn id="2" name="Revenue_Source"/>
    <tableColumn id="3" name="Revenue"/>
  </tableColumns>
</table>
</file>

<file path=xl/tables/table10.xml><?xml version="1.0" encoding="utf-8"?>
<table xmlns="http://schemas.openxmlformats.org/spreadsheetml/2006/main" id="10" name="tblSegments" displayName="tblSegments" ref="A1:K6" headerRowCount="1" totalsRowCount="0" totalsRowShown="0">
  <autoFilter ref="A1:K6"/>
  <tableColumns count="11">
    <tableColumn id="1" name="Year"/>
    <tableColumn id="2" name="Advertising_Revenue"/>
    <tableColumn id="3" name="FoA_Other_Revenue"/>
    <tableColumn id="4" name="Family_of_Apps_Revenue"/>
    <tableColumn id="5" name="Reality_Labs_Revenue"/>
    <tableColumn id="6" name="Total_Revenue"/>
    <tableColumn id="7" name="FoA_Operating_Income"/>
    <tableColumn id="8" name="RL_Operating_Income"/>
    <tableColumn id="9" name="Total_Operating_Income"/>
    <tableColumn id="10" name="FoA_Operating_Margin"/>
    <tableColumn id="11" name="Advertising_Share_of_Revenue"/>
  </tableColumns>
</table>
</file>

<file path=xl/tables/table11.xml><?xml version="1.0" encoding="utf-8"?>
<table xmlns="http://schemas.openxmlformats.org/spreadsheetml/2006/main" id="11" name="tblWaterfall" displayName="tblWaterfall" ref="A1:C8" headerRowCount="1" totalsRowCount="0" totalsRowShown="0">
  <autoFilter ref="A1:C8"/>
  <tableColumns count="3">
    <tableColumn id="1" name="Step_Order"/>
    <tableColumn id="2" name="Step"/>
    <tableColumn id="3" name="Amount"/>
  </tableColumns>
</table>
</file>

<file path=xl/tables/table12.xml><?xml version="1.0" encoding="utf-8"?>
<table xmlns="http://schemas.openxmlformats.org/spreadsheetml/2006/main" id="12" name="tblYear" displayName="tblYear" ref="A1:B6" headerRowCount="1" totalsRowCount="0" totalsRowShown="0">
  <autoFilter ref="A1:B6"/>
  <tableColumns count="2">
    <tableColumn id="1" name="Year"/>
    <tableColumn id="2" name="Year_N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27"/>
    <col collapsed="false" customWidth="true" hidden="false" outlineLevel="0" max="9" min="9" style="1" width="19"/>
    <col collapsed="false" customWidth="true" hidden="false" outlineLevel="0" max="10" min="10" style="1" width="28"/>
    <col collapsed="false" customWidth="true" hidden="false" outlineLevel="0" max="11" min="11" style="1" width="16"/>
    <col collapsed="false" customWidth="true" hidden="false" outlineLevel="0" max="13" min="12" style="1" width="14"/>
    <col collapsed="false" customWidth="true" hidden="false" outlineLevel="0" max="14" min="14" style="1" width="18"/>
    <col collapsed="false" customWidth="true" hidden="false" outlineLevel="0" max="15" min="15" style="1" width="20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15" hidden="false" customHeight="false" outlineLevel="0" collapsed="false">
      <c r="A2" s="3" t="s">
        <v>31</v>
      </c>
      <c r="B2" s="6" t="n">
        <v>117929</v>
      </c>
      <c r="C2" s="6" t="n">
        <v>22649</v>
      </c>
      <c r="D2" s="7" t="n">
        <f aca="false">B2-C2</f>
        <v>95280</v>
      </c>
      <c r="E2" s="6" t="n">
        <v>24655</v>
      </c>
      <c r="F2" s="6" t="n">
        <v>14043</v>
      </c>
      <c r="G2" s="6" t="n">
        <v>9829</v>
      </c>
      <c r="H2" s="7" t="n">
        <f aca="false">C2+E2+F2+G2</f>
        <v>71176</v>
      </c>
      <c r="I2" s="7" t="n">
        <f aca="false">B2-H2</f>
        <v>46753</v>
      </c>
      <c r="J2" s="6" t="n">
        <v>531</v>
      </c>
      <c r="K2" s="7" t="n">
        <f aca="false">I2+J2</f>
        <v>47284</v>
      </c>
      <c r="L2" s="6" t="n">
        <v>7914</v>
      </c>
      <c r="M2" s="7" t="n">
        <f aca="false">K2-L2</f>
        <v>39370</v>
      </c>
      <c r="N2" s="8" t="n">
        <v>13.77</v>
      </c>
      <c r="O2" s="6" t="n">
        <v>2859</v>
      </c>
    </row>
    <row r="3" customFormat="false" ht="15" hidden="false" customHeight="false" outlineLevel="0" collapsed="false">
      <c r="A3" s="3" t="s">
        <v>32</v>
      </c>
      <c r="B3" s="6" t="n">
        <v>116609</v>
      </c>
      <c r="C3" s="6" t="n">
        <v>25249</v>
      </c>
      <c r="D3" s="7" t="n">
        <f aca="false">B3-C3</f>
        <v>91360</v>
      </c>
      <c r="E3" s="6" t="n">
        <v>35338</v>
      </c>
      <c r="F3" s="6" t="n">
        <v>15262</v>
      </c>
      <c r="G3" s="6" t="n">
        <v>11816</v>
      </c>
      <c r="H3" s="7" t="n">
        <f aca="false">C3+E3+F3+G3</f>
        <v>87665</v>
      </c>
      <c r="I3" s="7" t="n">
        <f aca="false">B3-H3</f>
        <v>28944</v>
      </c>
      <c r="J3" s="6" t="n">
        <v>-125</v>
      </c>
      <c r="K3" s="7" t="n">
        <f aca="false">I3+J3</f>
        <v>28819</v>
      </c>
      <c r="L3" s="6" t="n">
        <v>5619</v>
      </c>
      <c r="M3" s="7" t="n">
        <f aca="false">K3-L3</f>
        <v>23200</v>
      </c>
      <c r="N3" s="8" t="n">
        <v>8.59</v>
      </c>
      <c r="O3" s="6" t="n">
        <v>2702</v>
      </c>
    </row>
    <row r="4" customFormat="false" ht="15" hidden="false" customHeight="false" outlineLevel="0" collapsed="false">
      <c r="A4" s="3" t="s">
        <v>33</v>
      </c>
      <c r="B4" s="6" t="n">
        <v>134902</v>
      </c>
      <c r="C4" s="6" t="n">
        <v>25959</v>
      </c>
      <c r="D4" s="7" t="n">
        <f aca="false">B4-C4</f>
        <v>108943</v>
      </c>
      <c r="E4" s="6" t="n">
        <v>38483</v>
      </c>
      <c r="F4" s="6" t="n">
        <v>12301</v>
      </c>
      <c r="G4" s="6" t="n">
        <v>11408</v>
      </c>
      <c r="H4" s="7" t="n">
        <f aca="false">C4+E4+F4+G4</f>
        <v>88151</v>
      </c>
      <c r="I4" s="7" t="n">
        <f aca="false">B4-H4</f>
        <v>46751</v>
      </c>
      <c r="J4" s="6" t="n">
        <v>677</v>
      </c>
      <c r="K4" s="7" t="n">
        <f aca="false">I4+J4</f>
        <v>47428</v>
      </c>
      <c r="L4" s="6" t="n">
        <v>8330</v>
      </c>
      <c r="M4" s="7" t="n">
        <f aca="false">K4-L4</f>
        <v>39098</v>
      </c>
      <c r="N4" s="8" t="n">
        <v>14.87</v>
      </c>
      <c r="O4" s="6" t="n">
        <v>2629</v>
      </c>
    </row>
    <row r="5" customFormat="false" ht="15" hidden="false" customHeight="false" outlineLevel="0" collapsed="false">
      <c r="A5" s="3" t="s">
        <v>34</v>
      </c>
      <c r="B5" s="6" t="n">
        <v>164501</v>
      </c>
      <c r="C5" s="6" t="n">
        <v>30161</v>
      </c>
      <c r="D5" s="7" t="n">
        <f aca="false">B5-C5</f>
        <v>134340</v>
      </c>
      <c r="E5" s="6" t="n">
        <v>43873</v>
      </c>
      <c r="F5" s="6" t="n">
        <v>11347</v>
      </c>
      <c r="G5" s="6" t="n">
        <v>9740</v>
      </c>
      <c r="H5" s="7" t="n">
        <f aca="false">C5+E5+F5+G5</f>
        <v>95121</v>
      </c>
      <c r="I5" s="7" t="n">
        <f aca="false">B5-H5</f>
        <v>69380</v>
      </c>
      <c r="J5" s="6" t="n">
        <v>1283</v>
      </c>
      <c r="K5" s="7" t="n">
        <f aca="false">I5+J5</f>
        <v>70663</v>
      </c>
      <c r="L5" s="6" t="n">
        <v>8303</v>
      </c>
      <c r="M5" s="7" t="n">
        <f aca="false">K5-L5</f>
        <v>62360</v>
      </c>
      <c r="N5" s="8" t="n">
        <v>23.86</v>
      </c>
      <c r="O5" s="6" t="n">
        <v>2614</v>
      </c>
    </row>
    <row r="6" customFormat="false" ht="15" hidden="false" customHeight="false" outlineLevel="0" collapsed="false">
      <c r="A6" s="3" t="s">
        <v>35</v>
      </c>
      <c r="B6" s="6" t="n">
        <v>200966</v>
      </c>
      <c r="C6" s="6" t="n">
        <v>36175</v>
      </c>
      <c r="D6" s="7" t="n">
        <f aca="false">B6-C6</f>
        <v>164791</v>
      </c>
      <c r="E6" s="6" t="n">
        <v>57372</v>
      </c>
      <c r="F6" s="6" t="n">
        <v>11991</v>
      </c>
      <c r="G6" s="6" t="n">
        <v>12152</v>
      </c>
      <c r="H6" s="7" t="n">
        <f aca="false">C6+E6+F6+G6</f>
        <v>117690</v>
      </c>
      <c r="I6" s="7" t="n">
        <f aca="false">B6-H6</f>
        <v>83276</v>
      </c>
      <c r="J6" s="6" t="n">
        <v>2656</v>
      </c>
      <c r="K6" s="7" t="n">
        <f aca="false">I6+J6</f>
        <v>85932</v>
      </c>
      <c r="L6" s="6" t="n">
        <v>25474</v>
      </c>
      <c r="M6" s="7" t="n">
        <f aca="false">K6-L6</f>
        <v>60458</v>
      </c>
      <c r="N6" s="8" t="n">
        <v>23.49</v>
      </c>
      <c r="O6" s="6" t="n">
        <v>2574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25"/>
    <col collapsed="false" customWidth="true" hidden="false" outlineLevel="0" max="5" min="5" style="1" width="23"/>
    <col collapsed="false" customWidth="true" hidden="false" outlineLevel="0" max="6" min="6" style="1" width="16"/>
    <col collapsed="false" customWidth="true" hidden="false" outlineLevel="0" max="7" min="7" style="1" width="23"/>
    <col collapsed="false" customWidth="true" hidden="false" outlineLevel="0" max="8" min="8" style="1" width="22"/>
    <col collapsed="false" customWidth="true" hidden="false" outlineLevel="0" max="9" min="9" style="1" width="25"/>
    <col collapsed="false" customWidth="true" hidden="false" outlineLevel="0" max="10" min="10" style="1" width="23"/>
    <col collapsed="false" customWidth="true" hidden="false" outlineLevel="0" max="11" min="11" style="1" width="31"/>
  </cols>
  <sheetData>
    <row r="1" customFormat="false" ht="23.85" hidden="false" customHeight="false" outlineLevel="0" collapsed="false">
      <c r="A1" s="5" t="s">
        <v>16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</row>
    <row r="2" customFormat="false" ht="15" hidden="false" customHeight="false" outlineLevel="0" collapsed="false">
      <c r="A2" s="3" t="s">
        <v>31</v>
      </c>
      <c r="B2" s="6" t="n">
        <v>114934</v>
      </c>
      <c r="C2" s="6" t="n">
        <v>721</v>
      </c>
      <c r="D2" s="7" t="n">
        <f aca="false">B2+C2</f>
        <v>115655</v>
      </c>
      <c r="E2" s="6" t="n">
        <v>2274</v>
      </c>
      <c r="F2" s="7" t="n">
        <f aca="false">D2+E2</f>
        <v>117929</v>
      </c>
      <c r="G2" s="6" t="n">
        <v>56946</v>
      </c>
      <c r="H2" s="6" t="n">
        <v>-10193</v>
      </c>
      <c r="I2" s="7" t="n">
        <f aca="false">G2+H2</f>
        <v>46753</v>
      </c>
      <c r="J2" s="9" t="n">
        <f aca="false">G2/D2</f>
        <v>0.492378193765942</v>
      </c>
      <c r="K2" s="9" t="n">
        <f aca="false">B2/F2</f>
        <v>0.974603363040474</v>
      </c>
    </row>
    <row r="3" customFormat="false" ht="15" hidden="false" customHeight="false" outlineLevel="0" collapsed="false">
      <c r="A3" s="3" t="s">
        <v>32</v>
      </c>
      <c r="B3" s="6" t="n">
        <v>113642</v>
      </c>
      <c r="C3" s="6" t="n">
        <v>808</v>
      </c>
      <c r="D3" s="7" t="n">
        <f aca="false">B3+C3</f>
        <v>114450</v>
      </c>
      <c r="E3" s="6" t="n">
        <v>2159</v>
      </c>
      <c r="F3" s="7" t="n">
        <f aca="false">D3+E3</f>
        <v>116609</v>
      </c>
      <c r="G3" s="6" t="n">
        <v>42661</v>
      </c>
      <c r="H3" s="6" t="n">
        <v>-13717</v>
      </c>
      <c r="I3" s="7" t="n">
        <f aca="false">G3+H3</f>
        <v>28944</v>
      </c>
      <c r="J3" s="9" t="n">
        <f aca="false">G3/D3</f>
        <v>0.372747924858017</v>
      </c>
      <c r="K3" s="9" t="n">
        <f aca="false">B3/F3</f>
        <v>0.974555994820297</v>
      </c>
    </row>
    <row r="4" customFormat="false" ht="15" hidden="false" customHeight="false" outlineLevel="0" collapsed="false">
      <c r="A4" s="3" t="s">
        <v>33</v>
      </c>
      <c r="B4" s="6" t="n">
        <v>131948</v>
      </c>
      <c r="C4" s="6" t="n">
        <v>1058</v>
      </c>
      <c r="D4" s="7" t="n">
        <f aca="false">B4+C4</f>
        <v>133006</v>
      </c>
      <c r="E4" s="6" t="n">
        <v>1896</v>
      </c>
      <c r="F4" s="7" t="n">
        <f aca="false">D4+E4</f>
        <v>134902</v>
      </c>
      <c r="G4" s="6" t="n">
        <v>62871</v>
      </c>
      <c r="H4" s="6" t="n">
        <v>-16120</v>
      </c>
      <c r="I4" s="7" t="n">
        <f aca="false">G4+H4</f>
        <v>46751</v>
      </c>
      <c r="J4" s="9" t="n">
        <f aca="false">G4/D4</f>
        <v>0.472692961219795</v>
      </c>
      <c r="K4" s="9" t="n">
        <f aca="false">B4/F4</f>
        <v>0.978102622644587</v>
      </c>
    </row>
    <row r="5" customFormat="false" ht="15" hidden="false" customHeight="false" outlineLevel="0" collapsed="false">
      <c r="A5" s="3" t="s">
        <v>34</v>
      </c>
      <c r="B5" s="6" t="n">
        <v>160633</v>
      </c>
      <c r="C5" s="6" t="n">
        <v>1722</v>
      </c>
      <c r="D5" s="7" t="n">
        <f aca="false">B5+C5</f>
        <v>162355</v>
      </c>
      <c r="E5" s="6" t="n">
        <v>2146</v>
      </c>
      <c r="F5" s="7" t="n">
        <f aca="false">D5+E5</f>
        <v>164501</v>
      </c>
      <c r="G5" s="6" t="n">
        <v>87109</v>
      </c>
      <c r="H5" s="6" t="n">
        <v>-17729</v>
      </c>
      <c r="I5" s="7" t="n">
        <f aca="false">G5+H5</f>
        <v>69380</v>
      </c>
      <c r="J5" s="9" t="n">
        <f aca="false">G5/D5</f>
        <v>0.536534138154045</v>
      </c>
      <c r="K5" s="9" t="n">
        <f aca="false">B5/F5</f>
        <v>0.976486465127872</v>
      </c>
    </row>
    <row r="6" customFormat="false" ht="15" hidden="false" customHeight="false" outlineLevel="0" collapsed="false">
      <c r="A6" s="3" t="s">
        <v>35</v>
      </c>
      <c r="B6" s="6" t="n">
        <v>196175</v>
      </c>
      <c r="C6" s="6" t="n">
        <v>2584</v>
      </c>
      <c r="D6" s="7" t="n">
        <f aca="false">B6+C6</f>
        <v>198759</v>
      </c>
      <c r="E6" s="6" t="n">
        <v>2207</v>
      </c>
      <c r="F6" s="7" t="n">
        <f aca="false">D6+E6</f>
        <v>200966</v>
      </c>
      <c r="G6" s="6" t="n">
        <v>102469</v>
      </c>
      <c r="H6" s="6" t="n">
        <v>-19193</v>
      </c>
      <c r="I6" s="7" t="n">
        <f aca="false">G6+H6</f>
        <v>83276</v>
      </c>
      <c r="J6" s="9" t="n">
        <f aca="false">G6/D6</f>
        <v>0.51554395021106</v>
      </c>
      <c r="K6" s="9" t="n">
        <f aca="false">B6/F6</f>
        <v>0.976160146492442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15" hidden="false" customHeight="false" outlineLevel="0" collapsed="false">
      <c r="A1" s="5" t="s">
        <v>16</v>
      </c>
      <c r="B1" s="5" t="s">
        <v>46</v>
      </c>
      <c r="C1" s="5" t="s">
        <v>17</v>
      </c>
    </row>
    <row r="2" customFormat="false" ht="15" hidden="false" customHeight="false" outlineLevel="0" collapsed="false">
      <c r="A2" s="3" t="s">
        <v>31</v>
      </c>
      <c r="B2" s="3" t="s">
        <v>47</v>
      </c>
      <c r="C2" s="6" t="n">
        <v>51541</v>
      </c>
    </row>
    <row r="3" customFormat="false" ht="15" hidden="false" customHeight="false" outlineLevel="0" collapsed="false">
      <c r="A3" s="3" t="s">
        <v>31</v>
      </c>
      <c r="B3" s="3" t="s">
        <v>48</v>
      </c>
      <c r="C3" s="6" t="n">
        <v>29057</v>
      </c>
    </row>
    <row r="4" customFormat="false" ht="15" hidden="false" customHeight="false" outlineLevel="0" collapsed="false">
      <c r="A4" s="3" t="s">
        <v>31</v>
      </c>
      <c r="B4" s="3" t="s">
        <v>49</v>
      </c>
      <c r="C4" s="6" t="n">
        <v>26739</v>
      </c>
    </row>
    <row r="5" customFormat="false" ht="15" hidden="false" customHeight="false" outlineLevel="0" collapsed="false">
      <c r="A5" s="3" t="s">
        <v>31</v>
      </c>
      <c r="B5" s="3" t="s">
        <v>50</v>
      </c>
      <c r="C5" s="6" t="n">
        <v>10592</v>
      </c>
    </row>
    <row r="6" customFormat="false" ht="15" hidden="false" customHeight="false" outlineLevel="0" collapsed="false">
      <c r="A6" s="3" t="s">
        <v>32</v>
      </c>
      <c r="B6" s="3" t="s">
        <v>47</v>
      </c>
      <c r="C6" s="6" t="n">
        <v>50150</v>
      </c>
    </row>
    <row r="7" customFormat="false" ht="15" hidden="false" customHeight="false" outlineLevel="0" collapsed="false">
      <c r="A7" s="3" t="s">
        <v>32</v>
      </c>
      <c r="B7" s="3" t="s">
        <v>48</v>
      </c>
      <c r="C7" s="6" t="n">
        <v>26681</v>
      </c>
    </row>
    <row r="8" customFormat="false" ht="15" hidden="false" customHeight="false" outlineLevel="0" collapsed="false">
      <c r="A8" s="3" t="s">
        <v>32</v>
      </c>
      <c r="B8" s="3" t="s">
        <v>49</v>
      </c>
      <c r="C8" s="6" t="n">
        <v>27760</v>
      </c>
    </row>
    <row r="9" customFormat="false" ht="15" hidden="false" customHeight="false" outlineLevel="0" collapsed="false">
      <c r="A9" s="3" t="s">
        <v>32</v>
      </c>
      <c r="B9" s="3" t="s">
        <v>50</v>
      </c>
      <c r="C9" s="6" t="n">
        <v>12018</v>
      </c>
    </row>
    <row r="10" customFormat="false" ht="15" hidden="false" customHeight="false" outlineLevel="0" collapsed="false">
      <c r="A10" s="3" t="s">
        <v>33</v>
      </c>
      <c r="B10" s="3" t="s">
        <v>47</v>
      </c>
      <c r="C10" s="6" t="n">
        <v>52888</v>
      </c>
    </row>
    <row r="11" customFormat="false" ht="15" hidden="false" customHeight="false" outlineLevel="0" collapsed="false">
      <c r="A11" s="3" t="s">
        <v>33</v>
      </c>
      <c r="B11" s="3" t="s">
        <v>48</v>
      </c>
      <c r="C11" s="6" t="n">
        <v>31210</v>
      </c>
    </row>
    <row r="12" customFormat="false" ht="15" hidden="false" customHeight="false" outlineLevel="0" collapsed="false">
      <c r="A12" s="3" t="s">
        <v>33</v>
      </c>
      <c r="B12" s="3" t="s">
        <v>49</v>
      </c>
      <c r="C12" s="6" t="n">
        <v>36154</v>
      </c>
    </row>
    <row r="13" customFormat="false" ht="15" hidden="false" customHeight="false" outlineLevel="0" collapsed="false">
      <c r="A13" s="3" t="s">
        <v>33</v>
      </c>
      <c r="B13" s="3" t="s">
        <v>50</v>
      </c>
      <c r="C13" s="6" t="n">
        <v>14650</v>
      </c>
    </row>
    <row r="14" customFormat="false" ht="15" hidden="false" customHeight="false" outlineLevel="0" collapsed="false">
      <c r="A14" s="3" t="s">
        <v>34</v>
      </c>
      <c r="B14" s="3" t="s">
        <v>47</v>
      </c>
      <c r="C14" s="6" t="n">
        <v>63207</v>
      </c>
    </row>
    <row r="15" customFormat="false" ht="15" hidden="false" customHeight="false" outlineLevel="0" collapsed="false">
      <c r="A15" s="3" t="s">
        <v>34</v>
      </c>
      <c r="B15" s="3" t="s">
        <v>48</v>
      </c>
      <c r="C15" s="6" t="n">
        <v>38361</v>
      </c>
    </row>
    <row r="16" customFormat="false" ht="15" hidden="false" customHeight="false" outlineLevel="0" collapsed="false">
      <c r="A16" s="3" t="s">
        <v>34</v>
      </c>
      <c r="B16" s="3" t="s">
        <v>49</v>
      </c>
      <c r="C16" s="6" t="n">
        <v>45009</v>
      </c>
    </row>
    <row r="17" customFormat="false" ht="15" hidden="false" customHeight="false" outlineLevel="0" collapsed="false">
      <c r="A17" s="3" t="s">
        <v>34</v>
      </c>
      <c r="B17" s="3" t="s">
        <v>50</v>
      </c>
      <c r="C17" s="6" t="n">
        <v>17924</v>
      </c>
    </row>
    <row r="18" customFormat="false" ht="15" hidden="false" customHeight="false" outlineLevel="0" collapsed="false">
      <c r="A18" s="3" t="s">
        <v>35</v>
      </c>
      <c r="B18" s="3" t="s">
        <v>47</v>
      </c>
      <c r="C18" s="6" t="n">
        <v>78866</v>
      </c>
    </row>
    <row r="19" customFormat="false" ht="15" hidden="false" customHeight="false" outlineLevel="0" collapsed="false">
      <c r="A19" s="3" t="s">
        <v>35</v>
      </c>
      <c r="B19" s="3" t="s">
        <v>48</v>
      </c>
      <c r="C19" s="6" t="n">
        <v>46569</v>
      </c>
    </row>
    <row r="20" customFormat="false" ht="15" hidden="false" customHeight="false" outlineLevel="0" collapsed="false">
      <c r="A20" s="3" t="s">
        <v>35</v>
      </c>
      <c r="B20" s="3" t="s">
        <v>49</v>
      </c>
      <c r="C20" s="6" t="n">
        <v>53817</v>
      </c>
    </row>
    <row r="21" customFormat="false" ht="15" hidden="false" customHeight="false" outlineLevel="0" collapsed="false">
      <c r="A21" s="3" t="s">
        <v>35</v>
      </c>
      <c r="B21" s="3" t="s">
        <v>50</v>
      </c>
      <c r="C21" s="6" t="n">
        <v>21714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48"/>
    <col collapsed="false" customWidth="true" hidden="false" outlineLevel="0" max="5" min="5" style="1" width="14"/>
    <col collapsed="false" customWidth="true" hidden="false" outlineLevel="0" max="7" min="7" style="1" width="36"/>
  </cols>
  <sheetData>
    <row r="1" customFormat="false" ht="15" hidden="false" customHeight="false" outlineLevel="0" collapsed="false">
      <c r="A1" s="5" t="s">
        <v>16</v>
      </c>
      <c r="B1" s="5" t="s">
        <v>51</v>
      </c>
      <c r="C1" s="5" t="s">
        <v>52</v>
      </c>
      <c r="D1" s="5" t="s">
        <v>53</v>
      </c>
      <c r="E1" s="5" t="s">
        <v>54</v>
      </c>
      <c r="G1" s="4" t="s">
        <v>55</v>
      </c>
    </row>
    <row r="2" customFormat="false" ht="15" hidden="false" customHeight="false" outlineLevel="0" collapsed="false">
      <c r="A2" s="3" t="s">
        <v>35</v>
      </c>
      <c r="B2" s="3" t="s">
        <v>56</v>
      </c>
      <c r="C2" s="3" t="s">
        <v>57</v>
      </c>
      <c r="D2" s="3" t="s">
        <v>58</v>
      </c>
      <c r="E2" s="6" t="n">
        <v>35873</v>
      </c>
      <c r="G2" s="3" t="s">
        <v>35</v>
      </c>
      <c r="H2" s="7" t="n">
        <f aca="false">SUMIFS(E2:E39,A2:A39,G2,B2:B39,"Assets")-SUMIFS(E2:E39,A2:A39,G2,B2:B39,"Liabilities")-SUMIFS(E2:E39,A2:A39,G2,B2:B39,"Equity")</f>
        <v>0</v>
      </c>
    </row>
    <row r="3" customFormat="false" ht="15" hidden="false" customHeight="false" outlineLevel="0" collapsed="false">
      <c r="A3" s="3" t="s">
        <v>35</v>
      </c>
      <c r="B3" s="3" t="s">
        <v>56</v>
      </c>
      <c r="C3" s="3" t="s">
        <v>57</v>
      </c>
      <c r="D3" s="3" t="s">
        <v>59</v>
      </c>
      <c r="E3" s="6" t="n">
        <v>45719</v>
      </c>
      <c r="G3" s="3" t="s">
        <v>34</v>
      </c>
      <c r="H3" s="7" t="n">
        <f aca="false">SUMIFS(E2:E39,A2:A39,G3,B2:B39,"Assets")-SUMIFS(E2:E39,A2:A39,G3,B2:B39,"Liabilities")-SUMIFS(E2:E39,A2:A39,G3,B2:B39,"Equity")</f>
        <v>0</v>
      </c>
    </row>
    <row r="4" customFormat="false" ht="15" hidden="false" customHeight="false" outlineLevel="0" collapsed="false">
      <c r="A4" s="3" t="s">
        <v>35</v>
      </c>
      <c r="B4" s="3" t="s">
        <v>56</v>
      </c>
      <c r="C4" s="3" t="s">
        <v>57</v>
      </c>
      <c r="D4" s="3" t="s">
        <v>60</v>
      </c>
      <c r="E4" s="6" t="n">
        <v>19769</v>
      </c>
    </row>
    <row r="5" customFormat="false" ht="15" hidden="false" customHeight="false" outlineLevel="0" collapsed="false">
      <c r="A5" s="3" t="s">
        <v>35</v>
      </c>
      <c r="B5" s="3" t="s">
        <v>56</v>
      </c>
      <c r="C5" s="3" t="s">
        <v>57</v>
      </c>
      <c r="D5" s="3" t="s">
        <v>61</v>
      </c>
      <c r="E5" s="6" t="n">
        <v>7361</v>
      </c>
    </row>
    <row r="6" customFormat="false" ht="15" hidden="false" customHeight="false" outlineLevel="0" collapsed="false">
      <c r="A6" s="3" t="s">
        <v>35</v>
      </c>
      <c r="B6" s="3" t="s">
        <v>56</v>
      </c>
      <c r="C6" s="3" t="s">
        <v>62</v>
      </c>
      <c r="D6" s="3" t="s">
        <v>63</v>
      </c>
      <c r="E6" s="6" t="n">
        <v>27524</v>
      </c>
    </row>
    <row r="7" customFormat="false" ht="15" hidden="false" customHeight="false" outlineLevel="0" collapsed="false">
      <c r="A7" s="3" t="s">
        <v>35</v>
      </c>
      <c r="B7" s="3" t="s">
        <v>56</v>
      </c>
      <c r="C7" s="3" t="s">
        <v>62</v>
      </c>
      <c r="D7" s="3" t="s">
        <v>64</v>
      </c>
      <c r="E7" s="6" t="n">
        <v>176400</v>
      </c>
    </row>
    <row r="8" customFormat="false" ht="15" hidden="false" customHeight="false" outlineLevel="0" collapsed="false">
      <c r="A8" s="3" t="s">
        <v>35</v>
      </c>
      <c r="B8" s="3" t="s">
        <v>56</v>
      </c>
      <c r="C8" s="3" t="s">
        <v>62</v>
      </c>
      <c r="D8" s="3" t="s">
        <v>65</v>
      </c>
      <c r="E8" s="6" t="n">
        <v>20404</v>
      </c>
    </row>
    <row r="9" customFormat="false" ht="15" hidden="false" customHeight="false" outlineLevel="0" collapsed="false">
      <c r="A9" s="3" t="s">
        <v>35</v>
      </c>
      <c r="B9" s="3" t="s">
        <v>56</v>
      </c>
      <c r="C9" s="3" t="s">
        <v>62</v>
      </c>
      <c r="D9" s="3" t="s">
        <v>66</v>
      </c>
      <c r="E9" s="6" t="n">
        <v>24534</v>
      </c>
    </row>
    <row r="10" customFormat="false" ht="15" hidden="false" customHeight="false" outlineLevel="0" collapsed="false">
      <c r="A10" s="3" t="s">
        <v>35</v>
      </c>
      <c r="B10" s="3" t="s">
        <v>56</v>
      </c>
      <c r="C10" s="3" t="s">
        <v>62</v>
      </c>
      <c r="D10" s="3" t="s">
        <v>67</v>
      </c>
      <c r="E10" s="6" t="n">
        <v>8437</v>
      </c>
    </row>
    <row r="11" customFormat="false" ht="15" hidden="false" customHeight="false" outlineLevel="0" collapsed="false">
      <c r="A11" s="3" t="s">
        <v>35</v>
      </c>
      <c r="B11" s="3" t="s">
        <v>68</v>
      </c>
      <c r="C11" s="3" t="s">
        <v>69</v>
      </c>
      <c r="D11" s="3" t="s">
        <v>70</v>
      </c>
      <c r="E11" s="6" t="n">
        <v>8894</v>
      </c>
    </row>
    <row r="12" customFormat="false" ht="15" hidden="false" customHeight="false" outlineLevel="0" collapsed="false">
      <c r="A12" s="3" t="s">
        <v>35</v>
      </c>
      <c r="B12" s="3" t="s">
        <v>68</v>
      </c>
      <c r="C12" s="3" t="s">
        <v>69</v>
      </c>
      <c r="D12" s="3" t="s">
        <v>71</v>
      </c>
      <c r="E12" s="6" t="n">
        <v>2213</v>
      </c>
    </row>
    <row r="13" customFormat="false" ht="15" hidden="false" customHeight="false" outlineLevel="0" collapsed="false">
      <c r="A13" s="3" t="s">
        <v>35</v>
      </c>
      <c r="B13" s="3" t="s">
        <v>68</v>
      </c>
      <c r="C13" s="3" t="s">
        <v>69</v>
      </c>
      <c r="D13" s="3" t="s">
        <v>72</v>
      </c>
      <c r="E13" s="6" t="n">
        <v>30729</v>
      </c>
    </row>
    <row r="14" customFormat="false" ht="15" hidden="false" customHeight="false" outlineLevel="0" collapsed="false">
      <c r="A14" s="3" t="s">
        <v>35</v>
      </c>
      <c r="B14" s="3" t="s">
        <v>68</v>
      </c>
      <c r="C14" s="3" t="s">
        <v>73</v>
      </c>
      <c r="D14" s="3" t="s">
        <v>74</v>
      </c>
      <c r="E14" s="6" t="n">
        <v>22940</v>
      </c>
    </row>
    <row r="15" customFormat="false" ht="15" hidden="false" customHeight="false" outlineLevel="0" collapsed="false">
      <c r="A15" s="3" t="s">
        <v>35</v>
      </c>
      <c r="B15" s="3" t="s">
        <v>68</v>
      </c>
      <c r="C15" s="3" t="s">
        <v>73</v>
      </c>
      <c r="D15" s="3" t="s">
        <v>75</v>
      </c>
      <c r="E15" s="6" t="n">
        <v>58744</v>
      </c>
    </row>
    <row r="16" customFormat="false" ht="15" hidden="false" customHeight="false" outlineLevel="0" collapsed="false">
      <c r="A16" s="3" t="s">
        <v>35</v>
      </c>
      <c r="B16" s="3" t="s">
        <v>68</v>
      </c>
      <c r="C16" s="3" t="s">
        <v>73</v>
      </c>
      <c r="D16" s="3" t="s">
        <v>76</v>
      </c>
      <c r="E16" s="6" t="n">
        <v>21005</v>
      </c>
    </row>
    <row r="17" customFormat="false" ht="15" hidden="false" customHeight="false" outlineLevel="0" collapsed="false">
      <c r="A17" s="3" t="s">
        <v>35</v>
      </c>
      <c r="B17" s="3" t="s">
        <v>68</v>
      </c>
      <c r="C17" s="3" t="s">
        <v>73</v>
      </c>
      <c r="D17" s="3" t="s">
        <v>77</v>
      </c>
      <c r="E17" s="6" t="n">
        <v>4253</v>
      </c>
    </row>
    <row r="18" customFormat="false" ht="15" hidden="false" customHeight="false" outlineLevel="0" collapsed="false">
      <c r="A18" s="3" t="s">
        <v>35</v>
      </c>
      <c r="B18" s="3" t="s">
        <v>78</v>
      </c>
      <c r="C18" s="3" t="s">
        <v>78</v>
      </c>
      <c r="D18" s="3" t="s">
        <v>79</v>
      </c>
      <c r="E18" s="6" t="n">
        <v>95793</v>
      </c>
    </row>
    <row r="19" customFormat="false" ht="15" hidden="false" customHeight="false" outlineLevel="0" collapsed="false">
      <c r="A19" s="3" t="s">
        <v>35</v>
      </c>
      <c r="B19" s="3" t="s">
        <v>78</v>
      </c>
      <c r="C19" s="3" t="s">
        <v>78</v>
      </c>
      <c r="D19" s="3" t="s">
        <v>80</v>
      </c>
      <c r="E19" s="6" t="n">
        <v>271</v>
      </c>
    </row>
    <row r="20" customFormat="false" ht="15" hidden="false" customHeight="false" outlineLevel="0" collapsed="false">
      <c r="A20" s="3" t="s">
        <v>35</v>
      </c>
      <c r="B20" s="3" t="s">
        <v>78</v>
      </c>
      <c r="C20" s="3" t="s">
        <v>78</v>
      </c>
      <c r="D20" s="3" t="s">
        <v>81</v>
      </c>
      <c r="E20" s="6" t="n">
        <v>121179</v>
      </c>
    </row>
    <row r="21" customFormat="false" ht="15" hidden="false" customHeight="false" outlineLevel="0" collapsed="false">
      <c r="A21" s="3" t="s">
        <v>34</v>
      </c>
      <c r="B21" s="3" t="s">
        <v>56</v>
      </c>
      <c r="C21" s="3" t="s">
        <v>57</v>
      </c>
      <c r="D21" s="3" t="s">
        <v>58</v>
      </c>
      <c r="E21" s="6" t="n">
        <v>43889</v>
      </c>
    </row>
    <row r="22" customFormat="false" ht="15" hidden="false" customHeight="false" outlineLevel="0" collapsed="false">
      <c r="A22" s="3" t="s">
        <v>34</v>
      </c>
      <c r="B22" s="3" t="s">
        <v>56</v>
      </c>
      <c r="C22" s="3" t="s">
        <v>57</v>
      </c>
      <c r="D22" s="3" t="s">
        <v>59</v>
      </c>
      <c r="E22" s="6" t="n">
        <v>33926</v>
      </c>
    </row>
    <row r="23" customFormat="false" ht="15" hidden="false" customHeight="false" outlineLevel="0" collapsed="false">
      <c r="A23" s="3" t="s">
        <v>34</v>
      </c>
      <c r="B23" s="3" t="s">
        <v>56</v>
      </c>
      <c r="C23" s="3" t="s">
        <v>57</v>
      </c>
      <c r="D23" s="3" t="s">
        <v>60</v>
      </c>
      <c r="E23" s="6" t="n">
        <v>16994</v>
      </c>
    </row>
    <row r="24" customFormat="false" ht="15" hidden="false" customHeight="false" outlineLevel="0" collapsed="false">
      <c r="A24" s="3" t="s">
        <v>34</v>
      </c>
      <c r="B24" s="3" t="s">
        <v>56</v>
      </c>
      <c r="C24" s="3" t="s">
        <v>57</v>
      </c>
      <c r="D24" s="3" t="s">
        <v>61</v>
      </c>
      <c r="E24" s="6" t="n">
        <v>5236</v>
      </c>
    </row>
    <row r="25" customFormat="false" ht="15" hidden="false" customHeight="false" outlineLevel="0" collapsed="false">
      <c r="A25" s="3" t="s">
        <v>34</v>
      </c>
      <c r="B25" s="3" t="s">
        <v>56</v>
      </c>
      <c r="C25" s="3" t="s">
        <v>62</v>
      </c>
      <c r="D25" s="3" t="s">
        <v>63</v>
      </c>
      <c r="E25" s="6" t="n">
        <v>6070</v>
      </c>
    </row>
    <row r="26" customFormat="false" ht="15" hidden="false" customHeight="false" outlineLevel="0" collapsed="false">
      <c r="A26" s="3" t="s">
        <v>34</v>
      </c>
      <c r="B26" s="3" t="s">
        <v>56</v>
      </c>
      <c r="C26" s="3" t="s">
        <v>62</v>
      </c>
      <c r="D26" s="3" t="s">
        <v>64</v>
      </c>
      <c r="E26" s="6" t="n">
        <v>121346</v>
      </c>
    </row>
    <row r="27" customFormat="false" ht="15" hidden="false" customHeight="false" outlineLevel="0" collapsed="false">
      <c r="A27" s="3" t="s">
        <v>34</v>
      </c>
      <c r="B27" s="3" t="s">
        <v>56</v>
      </c>
      <c r="C27" s="3" t="s">
        <v>62</v>
      </c>
      <c r="D27" s="3" t="s">
        <v>65</v>
      </c>
      <c r="E27" s="6" t="n">
        <v>14922</v>
      </c>
    </row>
    <row r="28" customFormat="false" ht="15" hidden="false" customHeight="false" outlineLevel="0" collapsed="false">
      <c r="A28" s="3" t="s">
        <v>34</v>
      </c>
      <c r="B28" s="3" t="s">
        <v>56</v>
      </c>
      <c r="C28" s="3" t="s">
        <v>62</v>
      </c>
      <c r="D28" s="3" t="s">
        <v>66</v>
      </c>
      <c r="E28" s="6" t="n">
        <v>20654</v>
      </c>
    </row>
    <row r="29" customFormat="false" ht="15" hidden="false" customHeight="false" outlineLevel="0" collapsed="false">
      <c r="A29" s="3" t="s">
        <v>34</v>
      </c>
      <c r="B29" s="3" t="s">
        <v>56</v>
      </c>
      <c r="C29" s="3" t="s">
        <v>62</v>
      </c>
      <c r="D29" s="3" t="s">
        <v>67</v>
      </c>
      <c r="E29" s="6" t="n">
        <v>13017</v>
      </c>
    </row>
    <row r="30" customFormat="false" ht="15" hidden="false" customHeight="false" outlineLevel="0" collapsed="false">
      <c r="A30" s="3" t="s">
        <v>34</v>
      </c>
      <c r="B30" s="3" t="s">
        <v>68</v>
      </c>
      <c r="C30" s="3" t="s">
        <v>69</v>
      </c>
      <c r="D30" s="3" t="s">
        <v>70</v>
      </c>
      <c r="E30" s="6" t="n">
        <v>7687</v>
      </c>
    </row>
    <row r="31" customFormat="false" ht="15" hidden="false" customHeight="false" outlineLevel="0" collapsed="false">
      <c r="A31" s="3" t="s">
        <v>34</v>
      </c>
      <c r="B31" s="3" t="s">
        <v>68</v>
      </c>
      <c r="C31" s="3" t="s">
        <v>69</v>
      </c>
      <c r="D31" s="3" t="s">
        <v>71</v>
      </c>
      <c r="E31" s="6" t="n">
        <v>1942</v>
      </c>
    </row>
    <row r="32" customFormat="false" ht="15" hidden="false" customHeight="false" outlineLevel="0" collapsed="false">
      <c r="A32" s="3" t="s">
        <v>34</v>
      </c>
      <c r="B32" s="3" t="s">
        <v>68</v>
      </c>
      <c r="C32" s="3" t="s">
        <v>69</v>
      </c>
      <c r="D32" s="3" t="s">
        <v>72</v>
      </c>
      <c r="E32" s="6" t="n">
        <v>23967</v>
      </c>
    </row>
    <row r="33" customFormat="false" ht="15" hidden="false" customHeight="false" outlineLevel="0" collapsed="false">
      <c r="A33" s="3" t="s">
        <v>34</v>
      </c>
      <c r="B33" s="3" t="s">
        <v>68</v>
      </c>
      <c r="C33" s="3" t="s">
        <v>73</v>
      </c>
      <c r="D33" s="3" t="s">
        <v>74</v>
      </c>
      <c r="E33" s="6" t="n">
        <v>18292</v>
      </c>
    </row>
    <row r="34" customFormat="false" ht="15" hidden="false" customHeight="false" outlineLevel="0" collapsed="false">
      <c r="A34" s="3" t="s">
        <v>34</v>
      </c>
      <c r="B34" s="3" t="s">
        <v>68</v>
      </c>
      <c r="C34" s="3" t="s">
        <v>73</v>
      </c>
      <c r="D34" s="3" t="s">
        <v>75</v>
      </c>
      <c r="E34" s="6" t="n">
        <v>28826</v>
      </c>
    </row>
    <row r="35" customFormat="false" ht="15" hidden="false" customHeight="false" outlineLevel="0" collapsed="false">
      <c r="A35" s="3" t="s">
        <v>34</v>
      </c>
      <c r="B35" s="3" t="s">
        <v>68</v>
      </c>
      <c r="C35" s="3" t="s">
        <v>73</v>
      </c>
      <c r="D35" s="3" t="s">
        <v>76</v>
      </c>
      <c r="E35" s="6" t="n">
        <v>9987</v>
      </c>
    </row>
    <row r="36" customFormat="false" ht="15" hidden="false" customHeight="false" outlineLevel="0" collapsed="false">
      <c r="A36" s="3" t="s">
        <v>34</v>
      </c>
      <c r="B36" s="3" t="s">
        <v>68</v>
      </c>
      <c r="C36" s="3" t="s">
        <v>73</v>
      </c>
      <c r="D36" s="3" t="s">
        <v>77</v>
      </c>
      <c r="E36" s="6" t="n">
        <v>2716</v>
      </c>
    </row>
    <row r="37" customFormat="false" ht="15" hidden="false" customHeight="false" outlineLevel="0" collapsed="false">
      <c r="A37" s="3" t="s">
        <v>34</v>
      </c>
      <c r="B37" s="3" t="s">
        <v>78</v>
      </c>
      <c r="C37" s="3" t="s">
        <v>78</v>
      </c>
      <c r="D37" s="3" t="s">
        <v>79</v>
      </c>
      <c r="E37" s="6" t="n">
        <v>83228</v>
      </c>
    </row>
    <row r="38" customFormat="false" ht="15" hidden="false" customHeight="false" outlineLevel="0" collapsed="false">
      <c r="A38" s="3" t="s">
        <v>34</v>
      </c>
      <c r="B38" s="3" t="s">
        <v>78</v>
      </c>
      <c r="C38" s="3" t="s">
        <v>78</v>
      </c>
      <c r="D38" s="3" t="s">
        <v>80</v>
      </c>
      <c r="E38" s="6" t="n">
        <v>-3097</v>
      </c>
    </row>
    <row r="39" customFormat="false" ht="15" hidden="false" customHeight="false" outlineLevel="0" collapsed="false">
      <c r="A39" s="3" t="s">
        <v>34</v>
      </c>
      <c r="B39" s="3" t="s">
        <v>78</v>
      </c>
      <c r="C39" s="3" t="s">
        <v>78</v>
      </c>
      <c r="D39" s="3" t="s">
        <v>81</v>
      </c>
      <c r="E39" s="6" t="n">
        <v>102506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9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7"/>
    <col collapsed="false" customWidth="true" hidden="false" outlineLevel="0" max="7" min="7" style="1" width="20"/>
    <col collapsed="false" customWidth="true" hidden="false" outlineLevel="0" max="8" min="8" style="1" width="17"/>
    <col collapsed="false" customWidth="true" hidden="false" outlineLevel="0" max="9" min="9" style="1" width="27"/>
    <col collapsed="false" customWidth="true" hidden="false" outlineLevel="0" max="10" min="10" style="1" width="32"/>
    <col collapsed="false" customWidth="true" hidden="false" outlineLevel="0" max="11" min="11" style="1" width="14"/>
    <col collapsed="false" customWidth="true" hidden="false" outlineLevel="0" max="12" min="12" style="1" width="18"/>
  </cols>
  <sheetData>
    <row r="1" customFormat="false" ht="15" hidden="false" customHeight="false" outlineLevel="0" collapsed="false">
      <c r="A1" s="5" t="s">
        <v>16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28</v>
      </c>
      <c r="L1" s="5" t="s">
        <v>91</v>
      </c>
    </row>
    <row r="2" customFormat="false" ht="15" hidden="false" customHeight="false" outlineLevel="0" collapsed="false">
      <c r="A2" s="3" t="s">
        <v>31</v>
      </c>
      <c r="B2" s="6" t="n">
        <v>57683</v>
      </c>
      <c r="C2" s="6" t="n">
        <v>18567</v>
      </c>
      <c r="D2" s="6" t="n">
        <v>677</v>
      </c>
      <c r="E2" s="7" t="n">
        <f aca="false">C2+D2</f>
        <v>19244</v>
      </c>
      <c r="F2" s="7" t="n">
        <f aca="false">B2-E2</f>
        <v>38439</v>
      </c>
      <c r="G2" s="6" t="n">
        <v>44537</v>
      </c>
      <c r="H2" s="6" t="n">
        <v>0</v>
      </c>
      <c r="I2" s="7" t="n">
        <f aca="false">G2+H2</f>
        <v>44537</v>
      </c>
      <c r="J2" s="6" t="n">
        <v>8025</v>
      </c>
      <c r="K2" s="6" t="n">
        <v>39370</v>
      </c>
      <c r="L2" s="10" t="n">
        <f aca="false">B2/K2</f>
        <v>1.46515113030226</v>
      </c>
    </row>
    <row r="3" customFormat="false" ht="15" hidden="false" customHeight="false" outlineLevel="0" collapsed="false">
      <c r="A3" s="3" t="s">
        <v>32</v>
      </c>
      <c r="B3" s="6" t="n">
        <v>50475</v>
      </c>
      <c r="C3" s="6" t="n">
        <v>31431</v>
      </c>
      <c r="D3" s="6" t="n">
        <v>850</v>
      </c>
      <c r="E3" s="7" t="n">
        <f aca="false">C3+D3</f>
        <v>32281</v>
      </c>
      <c r="F3" s="7" t="n">
        <f aca="false">B3-E3</f>
        <v>18194</v>
      </c>
      <c r="G3" s="6" t="n">
        <v>27956</v>
      </c>
      <c r="H3" s="6" t="n">
        <v>0</v>
      </c>
      <c r="I3" s="7" t="n">
        <f aca="false">G3+H3</f>
        <v>27956</v>
      </c>
      <c r="J3" s="6" t="n">
        <v>8686</v>
      </c>
      <c r="K3" s="6" t="n">
        <v>23200</v>
      </c>
      <c r="L3" s="10" t="n">
        <f aca="false">B3/K3</f>
        <v>2.17564655172414</v>
      </c>
    </row>
    <row r="4" customFormat="false" ht="15" hidden="false" customHeight="false" outlineLevel="0" collapsed="false">
      <c r="A4" s="3" t="s">
        <v>33</v>
      </c>
      <c r="B4" s="6" t="n">
        <v>71113</v>
      </c>
      <c r="C4" s="6" t="n">
        <v>27045</v>
      </c>
      <c r="D4" s="6" t="n">
        <v>1058</v>
      </c>
      <c r="E4" s="7" t="n">
        <f aca="false">C4+D4</f>
        <v>28103</v>
      </c>
      <c r="F4" s="7" t="n">
        <f aca="false">B4-E4</f>
        <v>43010</v>
      </c>
      <c r="G4" s="6" t="n">
        <v>19774</v>
      </c>
      <c r="H4" s="6" t="n">
        <v>0</v>
      </c>
      <c r="I4" s="7" t="n">
        <f aca="false">G4+H4</f>
        <v>19774</v>
      </c>
      <c r="J4" s="6" t="n">
        <v>11178</v>
      </c>
      <c r="K4" s="6" t="n">
        <v>39098</v>
      </c>
      <c r="L4" s="10" t="n">
        <f aca="false">B4/K4</f>
        <v>1.8188398383549</v>
      </c>
    </row>
    <row r="5" customFormat="false" ht="15" hidden="false" customHeight="false" outlineLevel="0" collapsed="false">
      <c r="A5" s="3" t="s">
        <v>34</v>
      </c>
      <c r="B5" s="6" t="n">
        <v>91328</v>
      </c>
      <c r="C5" s="6" t="n">
        <v>37256</v>
      </c>
      <c r="D5" s="6" t="n">
        <v>1969</v>
      </c>
      <c r="E5" s="7" t="n">
        <f aca="false">C5+D5</f>
        <v>39225</v>
      </c>
      <c r="F5" s="7" t="n">
        <f aca="false">B5-E5</f>
        <v>52103</v>
      </c>
      <c r="G5" s="6" t="n">
        <v>30125</v>
      </c>
      <c r="H5" s="6" t="n">
        <v>5072</v>
      </c>
      <c r="I5" s="7" t="n">
        <f aca="false">G5+H5</f>
        <v>35197</v>
      </c>
      <c r="J5" s="6" t="n">
        <v>15498</v>
      </c>
      <c r="K5" s="6" t="n">
        <v>62360</v>
      </c>
      <c r="L5" s="10" t="n">
        <f aca="false">B5/K5</f>
        <v>1.46452854393842</v>
      </c>
    </row>
    <row r="6" customFormat="false" ht="15" hidden="false" customHeight="false" outlineLevel="0" collapsed="false">
      <c r="A6" s="3" t="s">
        <v>35</v>
      </c>
      <c r="B6" s="6" t="n">
        <v>115800</v>
      </c>
      <c r="C6" s="6" t="n">
        <v>69691</v>
      </c>
      <c r="D6" s="6" t="n">
        <v>2524</v>
      </c>
      <c r="E6" s="7" t="n">
        <f aca="false">C6+D6</f>
        <v>72215</v>
      </c>
      <c r="F6" s="7" t="n">
        <f aca="false">B6-E6</f>
        <v>43585</v>
      </c>
      <c r="G6" s="6" t="n">
        <v>26248</v>
      </c>
      <c r="H6" s="6" t="n">
        <v>5324</v>
      </c>
      <c r="I6" s="7" t="n">
        <f aca="false">G6+H6</f>
        <v>31572</v>
      </c>
      <c r="J6" s="6" t="n">
        <v>18616</v>
      </c>
      <c r="K6" s="6" t="n">
        <v>60458</v>
      </c>
      <c r="L6" s="10" t="n">
        <f aca="false">B6/K6</f>
        <v>1.91537927156042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5"/>
    <col collapsed="false" customWidth="true" hidden="false" outlineLevel="0" max="4" min="3" style="1" width="14"/>
    <col collapsed="false" customWidth="true" hidden="false" outlineLevel="0" max="5" min="5" style="1" width="29"/>
    <col collapsed="false" customWidth="true" hidden="false" outlineLevel="0" max="6" min="6" style="1" width="22"/>
  </cols>
  <sheetData>
    <row r="1" customFormat="false" ht="23.85" hidden="false" customHeight="false" outlineLevel="0" collapsed="false">
      <c r="A1" s="5" t="s">
        <v>16</v>
      </c>
      <c r="B1" s="5" t="s">
        <v>92</v>
      </c>
      <c r="C1" s="5" t="s">
        <v>93</v>
      </c>
      <c r="D1" s="5" t="s">
        <v>17</v>
      </c>
      <c r="E1" s="5" t="s">
        <v>94</v>
      </c>
      <c r="F1" s="5" t="s">
        <v>95</v>
      </c>
    </row>
    <row r="2" customFormat="false" ht="15" hidden="false" customHeight="false" outlineLevel="0" collapsed="false">
      <c r="A2" s="3" t="s">
        <v>31</v>
      </c>
      <c r="B2" s="11" t="n">
        <v>2.82</v>
      </c>
      <c r="C2" s="6" t="n">
        <v>71970</v>
      </c>
      <c r="D2" s="6" t="n">
        <v>117929</v>
      </c>
      <c r="E2" s="12" t="n">
        <f aca="false">D2/C2*1000</f>
        <v>1638.58552174517</v>
      </c>
      <c r="F2" s="13" t="n">
        <f aca="false">D2/(B2*1000)</f>
        <v>41.8187943262411</v>
      </c>
    </row>
    <row r="3" customFormat="false" ht="15" hidden="false" customHeight="false" outlineLevel="0" collapsed="false">
      <c r="A3" s="3" t="s">
        <v>32</v>
      </c>
      <c r="B3" s="11" t="n">
        <v>2.96</v>
      </c>
      <c r="C3" s="6" t="n">
        <v>86482</v>
      </c>
      <c r="D3" s="6" t="n">
        <v>116609</v>
      </c>
      <c r="E3" s="12" t="n">
        <f aca="false">D3/C3*1000</f>
        <v>1348.36150875327</v>
      </c>
      <c r="F3" s="13" t="n">
        <f aca="false">D3/(B3*1000)</f>
        <v>39.3949324324324</v>
      </c>
    </row>
    <row r="4" customFormat="false" ht="15" hidden="false" customHeight="false" outlineLevel="0" collapsed="false">
      <c r="A4" s="3" t="s">
        <v>33</v>
      </c>
      <c r="B4" s="11" t="n">
        <v>3.19</v>
      </c>
      <c r="C4" s="6" t="n">
        <v>67317</v>
      </c>
      <c r="D4" s="6" t="n">
        <v>134902</v>
      </c>
      <c r="E4" s="12" t="n">
        <f aca="false">D4/C4*1000</f>
        <v>2003.98116374764</v>
      </c>
      <c r="F4" s="13" t="n">
        <f aca="false">D4/(B4*1000)</f>
        <v>42.2890282131661</v>
      </c>
    </row>
    <row r="5" customFormat="false" ht="15" hidden="false" customHeight="false" outlineLevel="0" collapsed="false">
      <c r="A5" s="3" t="s">
        <v>34</v>
      </c>
      <c r="B5" s="11" t="n">
        <v>3.35</v>
      </c>
      <c r="C5" s="6" t="n">
        <v>74067</v>
      </c>
      <c r="D5" s="6" t="n">
        <v>164501</v>
      </c>
      <c r="E5" s="12" t="n">
        <f aca="false">D5/C5*1000</f>
        <v>2220.9756031701</v>
      </c>
      <c r="F5" s="13" t="n">
        <f aca="false">D5/(B5*1000)</f>
        <v>49.104776119403</v>
      </c>
    </row>
    <row r="6" customFormat="false" ht="15" hidden="false" customHeight="false" outlineLevel="0" collapsed="false">
      <c r="A6" s="3" t="s">
        <v>35</v>
      </c>
      <c r="B6" s="11" t="n">
        <v>3.58</v>
      </c>
      <c r="C6" s="6" t="n">
        <v>78865</v>
      </c>
      <c r="D6" s="6" t="n">
        <v>200966</v>
      </c>
      <c r="E6" s="12" t="n">
        <f aca="false">D6/C6*1000</f>
        <v>2548.22798453053</v>
      </c>
      <c r="F6" s="13" t="n">
        <f aca="false">D6/(B6*1000)</f>
        <v>56.1357541899441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9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9"/>
  </cols>
  <sheetData>
    <row r="1" customFormat="false" ht="23.85" hidden="false" customHeight="false" outlineLevel="0" collapsed="false">
      <c r="A1" s="5" t="s">
        <v>96</v>
      </c>
      <c r="B1" s="5" t="s">
        <v>97</v>
      </c>
      <c r="C1" s="5" t="s">
        <v>17</v>
      </c>
      <c r="D1" s="5" t="s">
        <v>24</v>
      </c>
      <c r="E1" s="5" t="s">
        <v>28</v>
      </c>
      <c r="F1" s="5" t="s">
        <v>98</v>
      </c>
      <c r="G1" s="5" t="s">
        <v>99</v>
      </c>
      <c r="H1" s="5" t="s">
        <v>100</v>
      </c>
    </row>
    <row r="2" customFormat="false" ht="15" hidden="false" customHeight="false" outlineLevel="0" collapsed="false">
      <c r="A2" s="3" t="s">
        <v>101</v>
      </c>
      <c r="B2" s="14" t="n">
        <v>1</v>
      </c>
      <c r="C2" s="6" t="n">
        <v>42314</v>
      </c>
      <c r="D2" s="6" t="n">
        <v>17555</v>
      </c>
      <c r="E2" s="6" t="n">
        <v>16644</v>
      </c>
      <c r="F2" s="11" t="n">
        <v>13.69</v>
      </c>
      <c r="G2" s="11" t="n">
        <v>3.43</v>
      </c>
      <c r="H2" s="9" t="n">
        <f aca="false">D2/C2</f>
        <v>0.414874509618566</v>
      </c>
    </row>
    <row r="3" customFormat="false" ht="15" hidden="false" customHeight="false" outlineLevel="0" collapsed="false">
      <c r="A3" s="3" t="s">
        <v>102</v>
      </c>
      <c r="B3" s="14" t="n">
        <v>2</v>
      </c>
      <c r="C3" s="6" t="n">
        <v>47516</v>
      </c>
      <c r="D3" s="6" t="n">
        <v>20441</v>
      </c>
      <c r="E3" s="6" t="n">
        <v>18337</v>
      </c>
      <c r="F3" s="11" t="n">
        <v>17.01</v>
      </c>
      <c r="G3" s="11" t="n">
        <v>3.48</v>
      </c>
      <c r="H3" s="9" t="n">
        <f aca="false">D3/C3</f>
        <v>0.430191935348093</v>
      </c>
    </row>
    <row r="4" customFormat="false" ht="15" hidden="false" customHeight="false" outlineLevel="0" collapsed="false">
      <c r="A4" s="3" t="s">
        <v>103</v>
      </c>
      <c r="B4" s="14" t="n">
        <v>3</v>
      </c>
      <c r="C4" s="6" t="n">
        <v>51242</v>
      </c>
      <c r="D4" s="6" t="n">
        <v>20535</v>
      </c>
      <c r="E4" s="6" t="n">
        <v>2709</v>
      </c>
      <c r="F4" s="11" t="n">
        <v>19.37</v>
      </c>
      <c r="G4" s="11" t="n">
        <v>3.54</v>
      </c>
      <c r="H4" s="9" t="n">
        <f aca="false">D4/C4</f>
        <v>0.400745482221615</v>
      </c>
    </row>
    <row r="5" customFormat="false" ht="15" hidden="false" customHeight="false" outlineLevel="0" collapsed="false">
      <c r="A5" s="3" t="s">
        <v>104</v>
      </c>
      <c r="B5" s="14" t="n">
        <v>4</v>
      </c>
      <c r="C5" s="6" t="n">
        <v>59893</v>
      </c>
      <c r="D5" s="6" t="n">
        <v>24745</v>
      </c>
      <c r="E5" s="6" t="n">
        <v>22768</v>
      </c>
      <c r="F5" s="11" t="n">
        <v>22.14</v>
      </c>
      <c r="G5" s="11" t="n">
        <v>3.58</v>
      </c>
      <c r="H5" s="9" t="n">
        <f aca="false">D5/C5</f>
        <v>0.413153456998314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15" hidden="false" customHeight="false" outlineLevel="0" collapsed="false">
      <c r="A1" s="5" t="s">
        <v>105</v>
      </c>
      <c r="B1" s="5" t="s">
        <v>106</v>
      </c>
      <c r="C1" s="5" t="s">
        <v>107</v>
      </c>
      <c r="E1" s="15" t="s">
        <v>108</v>
      </c>
    </row>
    <row r="2" customFormat="false" ht="15" hidden="false" customHeight="false" outlineLevel="0" collapsed="false">
      <c r="A2" s="3" t="s">
        <v>109</v>
      </c>
      <c r="B2" s="3" t="s">
        <v>110</v>
      </c>
      <c r="C2" s="6" t="n">
        <v>96290</v>
      </c>
    </row>
    <row r="3" customFormat="false" ht="15" hidden="false" customHeight="false" outlineLevel="0" collapsed="false">
      <c r="A3" s="3" t="s">
        <v>109</v>
      </c>
      <c r="B3" s="3" t="s">
        <v>111</v>
      </c>
      <c r="C3" s="6" t="n">
        <v>21400</v>
      </c>
    </row>
    <row r="4" customFormat="false" ht="15" hidden="false" customHeight="false" outlineLevel="0" collapsed="false">
      <c r="A4" s="3" t="s">
        <v>112</v>
      </c>
      <c r="B4" s="3" t="s">
        <v>113</v>
      </c>
      <c r="C4" s="6" t="n">
        <v>70</v>
      </c>
    </row>
    <row r="5" customFormat="false" ht="15" hidden="false" customHeight="false" outlineLevel="0" collapsed="false">
      <c r="A5" s="3" t="s">
        <v>112</v>
      </c>
      <c r="B5" s="3" t="s">
        <v>114</v>
      </c>
      <c r="C5" s="6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15"/>
    <col collapsed="false" customWidth="true" hidden="false" outlineLevel="0" max="4" min="4" style="1" width="19"/>
    <col collapsed="false" customWidth="true" hidden="false" outlineLevel="0" max="5" min="5" style="1" width="14"/>
    <col collapsed="false" customWidth="true" hidden="false" outlineLevel="0" max="6" min="6" style="1" width="21"/>
    <col collapsed="false" customWidth="true" hidden="false" outlineLevel="0" max="8" min="7" style="1" width="20"/>
    <col collapsed="false" customWidth="true" hidden="false" outlineLevel="0" max="9" min="9" style="1" width="14"/>
    <col collapsed="false" customWidth="true" hidden="false" outlineLevel="0" max="11" min="11" style="1" width="38"/>
  </cols>
  <sheetData>
    <row r="1" customFormat="false" ht="23.85" hidden="false" customHeight="false" outlineLevel="0" collapsed="false">
      <c r="A1" s="5" t="s">
        <v>16</v>
      </c>
      <c r="B1" s="5" t="s">
        <v>115</v>
      </c>
      <c r="C1" s="5" t="s">
        <v>116</v>
      </c>
      <c r="D1" s="5" t="s">
        <v>100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121</v>
      </c>
      <c r="K1" s="4" t="s">
        <v>122</v>
      </c>
    </row>
    <row r="2" customFormat="false" ht="15" hidden="false" customHeight="false" outlineLevel="0" collapsed="false">
      <c r="A2" s="3" t="s">
        <v>31</v>
      </c>
      <c r="B2" s="9"/>
      <c r="C2" s="9" t="n">
        <f aca="false">Income_Statement!D2/Income_Statement!B2</f>
        <v>0.807943762772516</v>
      </c>
      <c r="D2" s="9" t="n">
        <f aca="false">Income_Statement!I2/Income_Statement!B2</f>
        <v>0.396450406600582</v>
      </c>
      <c r="E2" s="9" t="n">
        <f aca="false">Income_Statement!M2/Income_Statement!B2</f>
        <v>0.333844940599853</v>
      </c>
      <c r="F2" s="9" t="n">
        <f aca="false">Income_Statement!L2/Income_Statement!K2</f>
        <v>0.167371626765925</v>
      </c>
      <c r="G2" s="9" t="n">
        <f aca="false">Income_Statement!E2/Income_Statement!B2</f>
        <v>0.209066472199374</v>
      </c>
      <c r="H2" s="9" t="n">
        <f aca="false">Cash_Flow!E2/Income_Statement!B2</f>
        <v>0.163182932103215</v>
      </c>
      <c r="I2" s="9" t="n">
        <f aca="false">Cash_Flow!F2/Income_Statement!B2</f>
        <v>0.32595035996235</v>
      </c>
      <c r="L2" s="16" t="s">
        <v>35</v>
      </c>
      <c r="M2" s="16" t="s">
        <v>34</v>
      </c>
    </row>
    <row r="3" customFormat="false" ht="15" hidden="false" customHeight="false" outlineLevel="0" collapsed="false">
      <c r="A3" s="3" t="s">
        <v>32</v>
      </c>
      <c r="B3" s="9" t="n">
        <f aca="false">Income_Statement!B3/Income_Statement!B2-1</f>
        <v>-0.0111931755547829</v>
      </c>
      <c r="C3" s="9" t="n">
        <f aca="false">Income_Statement!D3/Income_Statement!B3</f>
        <v>0.783472973784185</v>
      </c>
      <c r="D3" s="9" t="n">
        <f aca="false">Income_Statement!I3/Income_Statement!B3</f>
        <v>0.248214117263676</v>
      </c>
      <c r="E3" s="9" t="n">
        <f aca="false">Income_Statement!M3/Income_Statement!B3</f>
        <v>0.19895548371052</v>
      </c>
      <c r="F3" s="9" t="n">
        <f aca="false">Income_Statement!L3/Income_Statement!K3</f>
        <v>0.194975536972136</v>
      </c>
      <c r="G3" s="9" t="n">
        <f aca="false">Income_Statement!E3/Income_Statement!B3</f>
        <v>0.303046934627687</v>
      </c>
      <c r="H3" s="9" t="n">
        <f aca="false">Cash_Flow!E3/Income_Statement!B3</f>
        <v>0.276831119381866</v>
      </c>
      <c r="I3" s="9" t="n">
        <f aca="false">Cash_Flow!F3/Income_Statement!B3</f>
        <v>0.156025692699534</v>
      </c>
      <c r="K3" s="3" t="s">
        <v>123</v>
      </c>
      <c r="L3" s="10" t="n">
        <f aca="false">SUMIFS(Balance_Sheet!E:E,Balance_Sheet!A:A,"2025",Balance_Sheet!C:C,"Current Assets")/SUMIFS(Balance_Sheet!E:E,Balance_Sheet!A:A,"2025",Balance_Sheet!C:C,"Current Liabilities")</f>
        <v>2.59876661248685</v>
      </c>
      <c r="M3" s="10" t="n">
        <f aca="false">SUMIFS(Balance_Sheet!E:E,Balance_Sheet!A:A,"2024",Balance_Sheet!C:C,"Current Assets")/SUMIFS(Balance_Sheet!E:E,Balance_Sheet!A:A,"2024",Balance_Sheet!C:C,"Current Liabilities")</f>
        <v>2.97788427193714</v>
      </c>
    </row>
    <row r="4" customFormat="false" ht="15" hidden="false" customHeight="false" outlineLevel="0" collapsed="false">
      <c r="A4" s="3" t="s">
        <v>33</v>
      </c>
      <c r="B4" s="9" t="n">
        <f aca="false">Income_Statement!B4/Income_Statement!B3-1</f>
        <v>0.156874683772265</v>
      </c>
      <c r="C4" s="9" t="n">
        <f aca="false">Income_Statement!D4/Income_Statement!B4</f>
        <v>0.80757142221761</v>
      </c>
      <c r="D4" s="9" t="n">
        <f aca="false">Income_Statement!I4/Income_Statement!B4</f>
        <v>0.346555277164164</v>
      </c>
      <c r="E4" s="9" t="n">
        <f aca="false">Income_Statement!M4/Income_Statement!B4</f>
        <v>0.289825206446161</v>
      </c>
      <c r="F4" s="9" t="n">
        <f aca="false">Income_Statement!L4/Income_Statement!K4</f>
        <v>0.175634646200557</v>
      </c>
      <c r="G4" s="9" t="n">
        <f aca="false">Income_Statement!E4/Income_Statement!B4</f>
        <v>0.285266341492343</v>
      </c>
      <c r="H4" s="9" t="n">
        <f aca="false">Cash_Flow!E4/Income_Statement!B4</f>
        <v>0.208321596418141</v>
      </c>
      <c r="I4" s="9" t="n">
        <f aca="false">Cash_Flow!F4/Income_Statement!B4</f>
        <v>0.318824035225571</v>
      </c>
      <c r="K4" s="3" t="s">
        <v>124</v>
      </c>
      <c r="L4" s="10" t="n">
        <f aca="false">SUMIFS(Balance_Sheet!E:E,Balance_Sheet!A:A,"2025",Balance_Sheet!D:D,"Long-term debt")/SUMIFS(Balance_Sheet!E:E,Balance_Sheet!A:A,"2025",Balance_Sheet!B:B,"Equity")</f>
        <v>0.270406871567784</v>
      </c>
      <c r="M4" s="10" t="n">
        <f aca="false">SUMIFS(Balance_Sheet!E:E,Balance_Sheet!A:A,"2024",Balance_Sheet!D:D,"Long-term debt")/SUMIFS(Balance_Sheet!E:E,Balance_Sheet!A:A,"2024",Balance_Sheet!B:B,"Equity")</f>
        <v>0.157832202675252</v>
      </c>
    </row>
    <row r="5" customFormat="false" ht="15" hidden="false" customHeight="false" outlineLevel="0" collapsed="false">
      <c r="A5" s="3" t="s">
        <v>34</v>
      </c>
      <c r="B5" s="9" t="n">
        <f aca="false">Income_Statement!B5/Income_Statement!B4-1</f>
        <v>0.219411128078161</v>
      </c>
      <c r="C5" s="9" t="n">
        <f aca="false">Income_Statement!D5/Income_Statement!B5</f>
        <v>0.81665157050717</v>
      </c>
      <c r="D5" s="9" t="n">
        <f aca="false">Income_Statement!I5/Income_Statement!B5</f>
        <v>0.421760354040401</v>
      </c>
      <c r="E5" s="9" t="n">
        <f aca="false">Income_Statement!M5/Income_Statement!B5</f>
        <v>0.379085841423456</v>
      </c>
      <c r="F5" s="9" t="n">
        <f aca="false">Income_Statement!L5/Income_Statement!K5</f>
        <v>0.117501379788574</v>
      </c>
      <c r="G5" s="9" t="n">
        <f aca="false">Income_Statement!E5/Income_Statement!B5</f>
        <v>0.266703545875101</v>
      </c>
      <c r="H5" s="9" t="n">
        <f aca="false">Cash_Flow!E5/Income_Statement!B5</f>
        <v>0.238448398489979</v>
      </c>
      <c r="I5" s="9" t="n">
        <f aca="false">Cash_Flow!F5/Income_Statement!B5</f>
        <v>0.316733636877587</v>
      </c>
      <c r="K5" s="3" t="s">
        <v>125</v>
      </c>
      <c r="L5" s="9" t="n">
        <f aca="false">INDEX(Income_Statement!M:M,MATCH("2025",Income_Statement!A:A,0))/SUMIFS(Balance_Sheet!E:E,Balance_Sheet!A:A,"2025",Balance_Sheet!B:B,"Equity")</f>
        <v>0.278296653977343</v>
      </c>
      <c r="M5" s="9" t="n">
        <f aca="false">INDEX(Income_Statement!M:M,MATCH("2024",Income_Statement!A:A,0))/SUMIFS(Balance_Sheet!E:E,Balance_Sheet!A:A,"2024",Balance_Sheet!B:B,"Equity")</f>
        <v>0.341442314536485</v>
      </c>
    </row>
    <row r="6" customFormat="false" ht="15" hidden="false" customHeight="false" outlineLevel="0" collapsed="false">
      <c r="A6" s="3" t="s">
        <v>35</v>
      </c>
      <c r="B6" s="9" t="n">
        <f aca="false">Income_Statement!B6/Income_Statement!B5-1</f>
        <v>0.221670384982462</v>
      </c>
      <c r="C6" s="9" t="n">
        <f aca="false">Income_Statement!D6/Income_Statement!B6</f>
        <v>0.819994426917986</v>
      </c>
      <c r="D6" s="9" t="n">
        <f aca="false">Income_Statement!I6/Income_Statement!B6</f>
        <v>0.414378551595792</v>
      </c>
      <c r="E6" s="9" t="n">
        <f aca="false">Income_Statement!M6/Income_Statement!B6</f>
        <v>0.300836957495298</v>
      </c>
      <c r="F6" s="9" t="n">
        <f aca="false">Income_Statement!L6/Income_Statement!K6</f>
        <v>0.296443699669506</v>
      </c>
      <c r="G6" s="9" t="n">
        <f aca="false">Income_Statement!E6/Income_Statement!B6</f>
        <v>0.285481126160644</v>
      </c>
      <c r="H6" s="9" t="n">
        <f aca="false">Cash_Flow!E6/Income_Statement!B6</f>
        <v>0.359339390742713</v>
      </c>
      <c r="I6" s="9" t="n">
        <f aca="false">Cash_Flow!F6/Income_Statement!B6</f>
        <v>0.216877481763084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</cols>
  <sheetData>
    <row r="1" customFormat="false" ht="15" hidden="false" customHeight="false" outlineLevel="0" collapsed="false">
      <c r="A1" s="5" t="s">
        <v>126</v>
      </c>
      <c r="B1" s="5" t="s">
        <v>127</v>
      </c>
      <c r="C1" s="5" t="s">
        <v>54</v>
      </c>
      <c r="E1" s="4" t="s">
        <v>128</v>
      </c>
    </row>
    <row r="2" customFormat="false" ht="15" hidden="false" customHeight="false" outlineLevel="0" collapsed="false">
      <c r="A2" s="17" t="n">
        <v>1</v>
      </c>
      <c r="B2" s="3" t="s">
        <v>17</v>
      </c>
      <c r="C2" s="6" t="n">
        <v>200966</v>
      </c>
      <c r="E2" s="7" t="n">
        <f aca="false">SUM(C2:C8)</f>
        <v>60458</v>
      </c>
      <c r="F2" s="15" t="s">
        <v>129</v>
      </c>
    </row>
    <row r="3" customFormat="false" ht="15" hidden="false" customHeight="false" outlineLevel="0" collapsed="false">
      <c r="A3" s="17" t="n">
        <v>2</v>
      </c>
      <c r="B3" s="3" t="s">
        <v>130</v>
      </c>
      <c r="C3" s="6" t="n">
        <v>-36175</v>
      </c>
    </row>
    <row r="4" customFormat="false" ht="15" hidden="false" customHeight="false" outlineLevel="0" collapsed="false">
      <c r="A4" s="17" t="n">
        <v>3</v>
      </c>
      <c r="B4" s="3" t="s">
        <v>131</v>
      </c>
      <c r="C4" s="6" t="n">
        <v>-57372</v>
      </c>
    </row>
    <row r="5" customFormat="false" ht="15" hidden="false" customHeight="false" outlineLevel="0" collapsed="false">
      <c r="A5" s="17" t="n">
        <v>4</v>
      </c>
      <c r="B5" s="3" t="s">
        <v>132</v>
      </c>
      <c r="C5" s="6" t="n">
        <v>-11991</v>
      </c>
    </row>
    <row r="6" customFormat="false" ht="15" hidden="false" customHeight="false" outlineLevel="0" collapsed="false">
      <c r="A6" s="17" t="n">
        <v>5</v>
      </c>
      <c r="B6" s="3" t="s">
        <v>133</v>
      </c>
      <c r="C6" s="6" t="n">
        <v>-12152</v>
      </c>
    </row>
    <row r="7" customFormat="false" ht="15" hidden="false" customHeight="false" outlineLevel="0" collapsed="false">
      <c r="A7" s="17" t="n">
        <v>6</v>
      </c>
      <c r="B7" s="3" t="s">
        <v>134</v>
      </c>
      <c r="C7" s="6" t="n">
        <v>2656</v>
      </c>
    </row>
    <row r="8" customFormat="false" ht="15" hidden="false" customHeight="false" outlineLevel="0" collapsed="false">
      <c r="A8" s="17" t="n">
        <v>7</v>
      </c>
      <c r="B8" s="3" t="s">
        <v>135</v>
      </c>
      <c r="C8" s="6" t="n">
        <v>-25474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</cols>
  <sheetData>
    <row r="1" customFormat="false" ht="15" hidden="false" customHeight="false" outlineLevel="0" collapsed="false">
      <c r="A1" s="5" t="s">
        <v>16</v>
      </c>
      <c r="B1" s="5" t="s">
        <v>136</v>
      </c>
    </row>
    <row r="2" customFormat="false" ht="15" hidden="false" customHeight="false" outlineLevel="0" collapsed="false">
      <c r="A2" s="3" t="s">
        <v>31</v>
      </c>
      <c r="B2" s="14" t="n">
        <v>2021</v>
      </c>
    </row>
    <row r="3" customFormat="false" ht="15" hidden="false" customHeight="false" outlineLevel="0" collapsed="false">
      <c r="A3" s="3" t="s">
        <v>32</v>
      </c>
      <c r="B3" s="14" t="n">
        <v>2022</v>
      </c>
    </row>
    <row r="4" customFormat="false" ht="15" hidden="false" customHeight="false" outlineLevel="0" collapsed="false">
      <c r="A4" s="3" t="s">
        <v>33</v>
      </c>
      <c r="B4" s="14" t="n">
        <v>2023</v>
      </c>
    </row>
    <row r="5" customFormat="false" ht="15" hidden="false" customHeight="false" outlineLevel="0" collapsed="false">
      <c r="A5" s="3" t="s">
        <v>34</v>
      </c>
      <c r="B5" s="14" t="n">
        <v>2024</v>
      </c>
    </row>
    <row r="6" customFormat="false" ht="15" hidden="false" customHeight="false" outlineLevel="0" collapsed="false">
      <c r="A6" s="3" t="s">
        <v>35</v>
      </c>
      <c r="B6" s="14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14"/>
  </cols>
  <sheetData>
    <row r="1" customFormat="false" ht="15" hidden="false" customHeight="false" outlineLevel="0" collapsed="false">
      <c r="A1" s="5" t="s">
        <v>16</v>
      </c>
      <c r="B1" s="5" t="s">
        <v>137</v>
      </c>
      <c r="C1" s="5" t="s">
        <v>17</v>
      </c>
    </row>
    <row r="2" customFormat="false" ht="15" hidden="false" customHeight="false" outlineLevel="0" collapsed="false">
      <c r="A2" s="3" t="s">
        <v>31</v>
      </c>
      <c r="B2" s="3" t="s">
        <v>138</v>
      </c>
      <c r="C2" s="6" t="n">
        <v>114934</v>
      </c>
    </row>
    <row r="3" customFormat="false" ht="15" hidden="false" customHeight="false" outlineLevel="0" collapsed="false">
      <c r="A3" s="3" t="s">
        <v>31</v>
      </c>
      <c r="B3" s="3" t="s">
        <v>139</v>
      </c>
      <c r="C3" s="6" t="n">
        <v>721</v>
      </c>
    </row>
    <row r="4" customFormat="false" ht="15" hidden="false" customHeight="false" outlineLevel="0" collapsed="false">
      <c r="A4" s="3" t="s">
        <v>31</v>
      </c>
      <c r="B4" s="3" t="s">
        <v>111</v>
      </c>
      <c r="C4" s="6" t="n">
        <v>2274</v>
      </c>
    </row>
    <row r="5" customFormat="false" ht="15" hidden="false" customHeight="false" outlineLevel="0" collapsed="false">
      <c r="A5" s="3" t="s">
        <v>32</v>
      </c>
      <c r="B5" s="3" t="s">
        <v>138</v>
      </c>
      <c r="C5" s="6" t="n">
        <v>113642</v>
      </c>
    </row>
    <row r="6" customFormat="false" ht="15" hidden="false" customHeight="false" outlineLevel="0" collapsed="false">
      <c r="A6" s="3" t="s">
        <v>32</v>
      </c>
      <c r="B6" s="3" t="s">
        <v>139</v>
      </c>
      <c r="C6" s="6" t="n">
        <v>808</v>
      </c>
    </row>
    <row r="7" customFormat="false" ht="15" hidden="false" customHeight="false" outlineLevel="0" collapsed="false">
      <c r="A7" s="3" t="s">
        <v>32</v>
      </c>
      <c r="B7" s="3" t="s">
        <v>111</v>
      </c>
      <c r="C7" s="6" t="n">
        <v>2159</v>
      </c>
    </row>
    <row r="8" customFormat="false" ht="15" hidden="false" customHeight="false" outlineLevel="0" collapsed="false">
      <c r="A8" s="3" t="s">
        <v>33</v>
      </c>
      <c r="B8" s="3" t="s">
        <v>138</v>
      </c>
      <c r="C8" s="6" t="n">
        <v>131948</v>
      </c>
    </row>
    <row r="9" customFormat="false" ht="15" hidden="false" customHeight="false" outlineLevel="0" collapsed="false">
      <c r="A9" s="3" t="s">
        <v>33</v>
      </c>
      <c r="B9" s="3" t="s">
        <v>139</v>
      </c>
      <c r="C9" s="6" t="n">
        <v>1058</v>
      </c>
    </row>
    <row r="10" customFormat="false" ht="15" hidden="false" customHeight="false" outlineLevel="0" collapsed="false">
      <c r="A10" s="3" t="s">
        <v>33</v>
      </c>
      <c r="B10" s="3" t="s">
        <v>111</v>
      </c>
      <c r="C10" s="6" t="n">
        <v>1896</v>
      </c>
    </row>
    <row r="11" customFormat="false" ht="15" hidden="false" customHeight="false" outlineLevel="0" collapsed="false">
      <c r="A11" s="3" t="s">
        <v>34</v>
      </c>
      <c r="B11" s="3" t="s">
        <v>138</v>
      </c>
      <c r="C11" s="6" t="n">
        <v>160633</v>
      </c>
    </row>
    <row r="12" customFormat="false" ht="15" hidden="false" customHeight="false" outlineLevel="0" collapsed="false">
      <c r="A12" s="3" t="s">
        <v>34</v>
      </c>
      <c r="B12" s="3" t="s">
        <v>139</v>
      </c>
      <c r="C12" s="6" t="n">
        <v>1722</v>
      </c>
    </row>
    <row r="13" customFormat="false" ht="15" hidden="false" customHeight="false" outlineLevel="0" collapsed="false">
      <c r="A13" s="3" t="s">
        <v>34</v>
      </c>
      <c r="B13" s="3" t="s">
        <v>111</v>
      </c>
      <c r="C13" s="6" t="n">
        <v>2146</v>
      </c>
    </row>
    <row r="14" customFormat="false" ht="15" hidden="false" customHeight="false" outlineLevel="0" collapsed="false">
      <c r="A14" s="3" t="s">
        <v>35</v>
      </c>
      <c r="B14" s="3" t="s">
        <v>138</v>
      </c>
      <c r="C14" s="6" t="n">
        <v>196175</v>
      </c>
    </row>
    <row r="15" customFormat="false" ht="15" hidden="false" customHeight="false" outlineLevel="0" collapsed="false">
      <c r="A15" s="3" t="s">
        <v>35</v>
      </c>
      <c r="B15" s="3" t="s">
        <v>139</v>
      </c>
      <c r="C15" s="6" t="n">
        <v>2584</v>
      </c>
    </row>
    <row r="16" customFormat="false" ht="15" hidden="false" customHeight="false" outlineLevel="0" collapsed="false">
      <c r="A16" s="3" t="s">
        <v>35</v>
      </c>
      <c r="B16" s="3" t="s">
        <v>111</v>
      </c>
      <c r="C16" s="6" t="n">
        <v>2207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2026-09-27T21:00:30Z</dcterms:created>
  <dc:creator>openpyxl</dc:creator>
  <dc:description/>
  <dc:language>en-US</dc:language>
  <cp:lastModifiedBy/>
  <dcterms:modified xsi:type="dcterms:W3CDTF">2026-09-27T21:00:30Z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